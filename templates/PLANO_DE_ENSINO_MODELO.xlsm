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drawings/drawing7.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DD97A8EA-9A9A-E61F-A557-7D5A7D7259CE}"/>
  <workbookPr codeName="EstaPastaDeTrabalho" defaultThemeVersion="124226"/>
  <mc:AlternateContent xmlns:mc="http://schemas.openxmlformats.org/markup-compatibility/2006">
    <mc:Choice Requires="x15">
      <x15ac:absPath xmlns:x15ac="http://schemas.microsoft.com/office/spreadsheetml/2010/11/ac" url="https://d.docs.live.net/a7daf6846c517531/weslyn/SESI-SENAI/SESI - INSTRUTOR/2026/"/>
    </mc:Choice>
  </mc:AlternateContent>
  <xr:revisionPtr revIDLastSave="3" documentId="8_{F80F24B1-D396-4D8A-B4CF-574DE565C1B1}" xr6:coauthVersionLast="47" xr6:coauthVersionMax="47" xr10:uidLastSave="{2A21CFD4-8A9B-4C8B-B9DF-678B60D353F6}"/>
  <bookViews>
    <workbookView xWindow="-120" yWindow="-120" windowWidth="20730" windowHeight="11040" tabRatio="891" firstSheet="1" activeTab="3" xr2:uid="{00000000-000D-0000-FFFF-FFFF00000000}"/>
  </bookViews>
  <sheets>
    <sheet name="Base" sheetId="34" state="hidden" r:id="rId1"/>
    <sheet name="Plano de Ensino" sheetId="35" r:id="rId2"/>
    <sheet name="TempGPT" sheetId="41" state="veryHidden" r:id="rId3"/>
    <sheet name="SA01" sheetId="44" r:id="rId4"/>
    <sheet name="SA02" sheetId="45" r:id="rId5"/>
    <sheet name="SA03" sheetId="46" r:id="rId6"/>
    <sheet name="SA04" sheetId="47" r:id="rId7"/>
    <sheet name="SA05" sheetId="48" r:id="rId8"/>
    <sheet name="Padrão de Desempenho" sheetId="39" r:id="rId9"/>
  </sheets>
  <definedNames>
    <definedName name="_xlnm._FilterDatabase" localSheetId="3" hidden="1">'SA01'!$C$2:$N$14</definedName>
    <definedName name="_xlnm._FilterDatabase" localSheetId="4" hidden="1">'SA02'!$C$2:$N$14</definedName>
    <definedName name="_xlnm._FilterDatabase" localSheetId="5" hidden="1">'SA03'!$C$2:$N$14</definedName>
    <definedName name="_xlnm._FilterDatabase" localSheetId="6" hidden="1">'SA04'!$C$2:$N$14</definedName>
    <definedName name="_xlnm._FilterDatabase" localSheetId="7" hidden="1">'SA05'!$C$2:$N$14</definedName>
    <definedName name="_xleta.N" hidden="1" xlm="1">#NAME?</definedName>
    <definedName name="_xlnm.Print_Area" localSheetId="3">'SA01'!$C$2:$N$14</definedName>
    <definedName name="_xlnm.Print_Area" localSheetId="4">'SA02'!$C$2:$N$14</definedName>
    <definedName name="_xlnm.Print_Area" localSheetId="5">'SA03'!$C$2:$N$14</definedName>
    <definedName name="_xlnm.Print_Area" localSheetId="6">'SA04'!$C$2:$N$14</definedName>
    <definedName name="_xlnm.Print_Area" localSheetId="7">'SA05'!$C$2:$N$14</definedName>
    <definedName name="_xlnm.Print_Titles" localSheetId="3">'SA01'!$12:$12</definedName>
    <definedName name="_xlnm.Print_Titles" localSheetId="4">'SA02'!$12:$12</definedName>
    <definedName name="_xlnm.Print_Titles" localSheetId="5">'SA03'!$12:$12</definedName>
    <definedName name="_xlnm.Print_Titles" localSheetId="6">'SA04'!$12:$12</definedName>
    <definedName name="_xlnm.Print_Titles" localSheetId="7">'SA05'!$12:$12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 i="48" l="1"/>
  <c r="L5" i="48"/>
  <c r="I5" i="48"/>
  <c r="E5" i="48"/>
  <c r="L4" i="48"/>
  <c r="I4" i="48"/>
  <c r="E4" i="48"/>
  <c r="L6" i="47"/>
  <c r="L5" i="47"/>
  <c r="I5" i="47"/>
  <c r="E5" i="47"/>
  <c r="L4" i="47"/>
  <c r="I4" i="47"/>
  <c r="E4" i="47"/>
  <c r="L6" i="46"/>
  <c r="L5" i="46"/>
  <c r="I5" i="46"/>
  <c r="E5" i="46"/>
  <c r="L4" i="46"/>
  <c r="I4" i="46"/>
  <c r="E4" i="46"/>
  <c r="L6" i="45"/>
  <c r="L5" i="45"/>
  <c r="I5" i="45"/>
  <c r="E5" i="45"/>
  <c r="L4" i="45"/>
  <c r="I4" i="45"/>
  <c r="E4" i="45"/>
  <c r="L6" i="44"/>
  <c r="L5" i="44"/>
  <c r="I5" i="44"/>
  <c r="E5" i="44"/>
  <c r="L4" i="44"/>
  <c r="I4" i="44"/>
  <c r="E4" i="44"/>
  <c r="CR31" i="39"/>
  <c r="CS31" i="39" s="1"/>
  <c r="CR32" i="39"/>
  <c r="CS32" i="39" s="1"/>
  <c r="CR33" i="39"/>
  <c r="CS33" i="39" s="1"/>
  <c r="CR34" i="39"/>
  <c r="CS34" i="39" s="1"/>
  <c r="CR51" i="39"/>
  <c r="CS51" i="39" s="1"/>
  <c r="CR52" i="39"/>
  <c r="CS52" i="39" s="1"/>
  <c r="CR53" i="39"/>
  <c r="CS53" i="39" s="1"/>
  <c r="CR54" i="39"/>
  <c r="CS54" i="39" s="1"/>
  <c r="CR71" i="39"/>
  <c r="CR72" i="39"/>
  <c r="CS72" i="39" s="1"/>
  <c r="CR73" i="39"/>
  <c r="CS73" i="39" s="1"/>
  <c r="CR74" i="39"/>
  <c r="CS74" i="39" s="1"/>
  <c r="CR75" i="39"/>
  <c r="CS75" i="39" s="1"/>
  <c r="CR76" i="39"/>
  <c r="CS76" i="39" s="1"/>
  <c r="CR77" i="39"/>
  <c r="CS77" i="39" s="1"/>
  <c r="CS71" i="39"/>
  <c r="CQ6" i="39"/>
  <c r="CQ7" i="39"/>
  <c r="CQ8" i="39"/>
  <c r="CQ9" i="39"/>
  <c r="CQ10" i="39"/>
  <c r="CQ11" i="39"/>
  <c r="CQ12" i="39"/>
  <c r="CQ13" i="39"/>
  <c r="CQ14" i="39"/>
  <c r="CQ15" i="39"/>
  <c r="CQ16" i="39"/>
  <c r="CQ17" i="39"/>
  <c r="CQ18" i="39"/>
  <c r="CQ19" i="39"/>
  <c r="CQ20" i="39"/>
  <c r="CQ21" i="39"/>
  <c r="CQ22" i="39"/>
  <c r="CQ23" i="39"/>
  <c r="CQ24" i="39"/>
  <c r="CQ25" i="39"/>
  <c r="CQ26" i="39"/>
  <c r="CQ27" i="39"/>
  <c r="CQ28" i="39"/>
  <c r="CQ29" i="39"/>
  <c r="CQ30" i="39"/>
  <c r="CQ31" i="39"/>
  <c r="CQ32" i="39"/>
  <c r="CQ33" i="39"/>
  <c r="CQ34" i="39"/>
  <c r="CQ35" i="39"/>
  <c r="CQ36" i="39"/>
  <c r="CQ37" i="39"/>
  <c r="CQ38" i="39"/>
  <c r="CQ39" i="39"/>
  <c r="CQ40" i="39"/>
  <c r="CQ41" i="39"/>
  <c r="CQ42" i="39"/>
  <c r="CQ43" i="39"/>
  <c r="CQ44" i="39"/>
  <c r="CQ45" i="39"/>
  <c r="CQ46" i="39"/>
  <c r="CQ47" i="39"/>
  <c r="CQ48" i="39"/>
  <c r="CQ49" i="39"/>
  <c r="CQ50" i="39"/>
  <c r="CQ51" i="39"/>
  <c r="CQ52" i="39"/>
  <c r="CQ53" i="39"/>
  <c r="CQ54" i="39"/>
  <c r="CQ55" i="39"/>
  <c r="CQ56" i="39"/>
  <c r="CQ57" i="39"/>
  <c r="CQ58" i="39"/>
  <c r="CQ59" i="39"/>
  <c r="CQ60" i="39"/>
  <c r="CQ61" i="39"/>
  <c r="CQ62" i="39"/>
  <c r="CQ63" i="39"/>
  <c r="CQ64" i="39"/>
  <c r="CQ65" i="39"/>
  <c r="CQ66" i="39"/>
  <c r="CQ67" i="39"/>
  <c r="CQ68" i="39"/>
  <c r="CQ69" i="39"/>
  <c r="CQ70" i="39"/>
  <c r="CQ71" i="39"/>
  <c r="CQ72" i="39"/>
  <c r="CQ73" i="39"/>
  <c r="CQ74" i="39"/>
  <c r="CQ75" i="39"/>
  <c r="CQ76" i="39"/>
  <c r="CQ77" i="39"/>
  <c r="CQ78" i="39"/>
  <c r="CQ79" i="39"/>
  <c r="CQ5" i="39"/>
  <c r="CP6" i="39"/>
  <c r="CP7" i="39"/>
  <c r="CP8" i="39"/>
  <c r="CP9" i="39"/>
  <c r="CP10" i="39"/>
  <c r="CP11" i="39"/>
  <c r="CP12" i="39"/>
  <c r="CP13" i="39"/>
  <c r="CP14" i="39"/>
  <c r="CP15" i="39"/>
  <c r="CR15" i="39" s="1"/>
  <c r="CS15" i="39" s="1"/>
  <c r="CP16" i="39"/>
  <c r="CR16" i="39" s="1"/>
  <c r="CS16" i="39" s="1"/>
  <c r="CP17" i="39"/>
  <c r="CR17" i="39" s="1"/>
  <c r="CS17" i="39" s="1"/>
  <c r="CP18" i="39"/>
  <c r="CR18" i="39" s="1"/>
  <c r="CS18" i="39" s="1"/>
  <c r="CP19" i="39"/>
  <c r="CR19" i="39" s="1"/>
  <c r="CS19" i="39" s="1"/>
  <c r="CP20" i="39"/>
  <c r="CR20" i="39" s="1"/>
  <c r="CS20" i="39" s="1"/>
  <c r="CP21" i="39"/>
  <c r="CR21" i="39" s="1"/>
  <c r="CS21" i="39" s="1"/>
  <c r="CP22" i="39"/>
  <c r="CR22" i="39" s="1"/>
  <c r="CS22" i="39" s="1"/>
  <c r="CP23" i="39"/>
  <c r="CR23" i="39" s="1"/>
  <c r="CS23" i="39" s="1"/>
  <c r="CP24" i="39"/>
  <c r="CR24" i="39" s="1"/>
  <c r="CS24" i="39" s="1"/>
  <c r="CP25" i="39"/>
  <c r="CR25" i="39" s="1"/>
  <c r="CS25" i="39" s="1"/>
  <c r="CP26" i="39"/>
  <c r="CR26" i="39" s="1"/>
  <c r="CS26" i="39" s="1"/>
  <c r="CP27" i="39"/>
  <c r="CR27" i="39" s="1"/>
  <c r="CS27" i="39" s="1"/>
  <c r="CP28" i="39"/>
  <c r="CR28" i="39" s="1"/>
  <c r="CS28" i="39" s="1"/>
  <c r="CP29" i="39"/>
  <c r="CR29" i="39" s="1"/>
  <c r="CS29" i="39" s="1"/>
  <c r="CP30" i="39"/>
  <c r="CR30" i="39" s="1"/>
  <c r="CS30" i="39" s="1"/>
  <c r="CP31" i="39"/>
  <c r="CP32" i="39"/>
  <c r="CP33" i="39"/>
  <c r="CP34" i="39"/>
  <c r="CP35" i="39"/>
  <c r="CR35" i="39" s="1"/>
  <c r="CS35" i="39" s="1"/>
  <c r="CP36" i="39"/>
  <c r="CR36" i="39" s="1"/>
  <c r="CS36" i="39" s="1"/>
  <c r="CP37" i="39"/>
  <c r="CR37" i="39" s="1"/>
  <c r="CS37" i="39" s="1"/>
  <c r="CP38" i="39"/>
  <c r="CR38" i="39" s="1"/>
  <c r="CS38" i="39" s="1"/>
  <c r="CP39" i="39"/>
  <c r="CR39" i="39" s="1"/>
  <c r="CS39" i="39" s="1"/>
  <c r="CP40" i="39"/>
  <c r="CR40" i="39" s="1"/>
  <c r="CS40" i="39" s="1"/>
  <c r="CP41" i="39"/>
  <c r="CR41" i="39" s="1"/>
  <c r="CS41" i="39" s="1"/>
  <c r="CP42" i="39"/>
  <c r="CR42" i="39" s="1"/>
  <c r="CS42" i="39" s="1"/>
  <c r="CP43" i="39"/>
  <c r="CR43" i="39" s="1"/>
  <c r="CS43" i="39" s="1"/>
  <c r="CP44" i="39"/>
  <c r="CR44" i="39" s="1"/>
  <c r="CS44" i="39" s="1"/>
  <c r="CP45" i="39"/>
  <c r="CR45" i="39" s="1"/>
  <c r="CS45" i="39" s="1"/>
  <c r="CP46" i="39"/>
  <c r="CR46" i="39" s="1"/>
  <c r="CS46" i="39" s="1"/>
  <c r="CP47" i="39"/>
  <c r="CR47" i="39" s="1"/>
  <c r="CS47" i="39" s="1"/>
  <c r="CP48" i="39"/>
  <c r="CR48" i="39" s="1"/>
  <c r="CS48" i="39" s="1"/>
  <c r="CP49" i="39"/>
  <c r="CR49" i="39" s="1"/>
  <c r="CS49" i="39" s="1"/>
  <c r="CP50" i="39"/>
  <c r="CR50" i="39" s="1"/>
  <c r="CS50" i="39" s="1"/>
  <c r="CP51" i="39"/>
  <c r="CP52" i="39"/>
  <c r="CP53" i="39"/>
  <c r="CP54" i="39"/>
  <c r="CP55" i="39"/>
  <c r="CP56" i="39"/>
  <c r="CP57" i="39"/>
  <c r="CP58" i="39"/>
  <c r="CR58" i="39" s="1"/>
  <c r="CS58" i="39" s="1"/>
  <c r="CP59" i="39"/>
  <c r="CR59" i="39" s="1"/>
  <c r="CS59" i="39" s="1"/>
  <c r="CP60" i="39"/>
  <c r="CR60" i="39" s="1"/>
  <c r="CS60" i="39" s="1"/>
  <c r="CP61" i="39"/>
  <c r="CR61" i="39" s="1"/>
  <c r="CS61" i="39" s="1"/>
  <c r="CP62" i="39"/>
  <c r="CR62" i="39" s="1"/>
  <c r="CS62" i="39" s="1"/>
  <c r="CP63" i="39"/>
  <c r="CR63" i="39" s="1"/>
  <c r="CS63" i="39" s="1"/>
  <c r="CP64" i="39"/>
  <c r="CR64" i="39" s="1"/>
  <c r="CS64" i="39" s="1"/>
  <c r="CP65" i="39"/>
  <c r="CR65" i="39" s="1"/>
  <c r="CS65" i="39" s="1"/>
  <c r="CP66" i="39"/>
  <c r="CR66" i="39" s="1"/>
  <c r="CS66" i="39" s="1"/>
  <c r="CP67" i="39"/>
  <c r="CR67" i="39" s="1"/>
  <c r="CS67" i="39" s="1"/>
  <c r="CP68" i="39"/>
  <c r="CR68" i="39" s="1"/>
  <c r="CS68" i="39" s="1"/>
  <c r="CP69" i="39"/>
  <c r="CR69" i="39" s="1"/>
  <c r="CS69" i="39" s="1"/>
  <c r="CP70" i="39"/>
  <c r="CR70" i="39" s="1"/>
  <c r="CS70" i="39" s="1"/>
  <c r="CP71" i="39"/>
  <c r="CP72" i="39"/>
  <c r="CP73" i="39"/>
  <c r="CP74" i="39"/>
  <c r="CP75" i="39"/>
  <c r="CP76" i="39"/>
  <c r="CP77" i="39"/>
  <c r="CP78" i="39"/>
  <c r="CR78" i="39" s="1"/>
  <c r="CS78" i="39" s="1"/>
  <c r="CP79" i="39"/>
  <c r="CR79" i="39" s="1"/>
  <c r="CS79" i="39" s="1"/>
  <c r="CP5" i="39"/>
  <c r="CR57" i="39" l="1"/>
  <c r="CS57" i="39" s="1"/>
  <c r="CR56" i="39"/>
  <c r="CS56" i="39" s="1"/>
  <c r="CR55" i="39"/>
  <c r="CS55" i="39" s="1"/>
  <c r="CR14" i="39"/>
  <c r="CS14" i="39" s="1"/>
  <c r="CR13" i="39"/>
  <c r="CS13" i="39" s="1"/>
  <c r="CR12" i="39"/>
  <c r="CS12" i="39" s="1"/>
  <c r="CR11" i="39"/>
  <c r="CS11" i="39" s="1"/>
  <c r="CR10" i="39"/>
  <c r="CS10" i="39" s="1"/>
  <c r="CR9" i="39"/>
  <c r="CS9" i="39" s="1"/>
  <c r="CR8" i="39"/>
  <c r="CS8" i="39" s="1"/>
  <c r="CR7" i="39"/>
  <c r="CS7" i="39" s="1"/>
  <c r="CR6" i="39"/>
  <c r="CS6" i="39" s="1"/>
  <c r="N80" i="39" l="1"/>
  <c r="N81" i="39" l="1"/>
  <c r="CO80" i="39" l="1"/>
  <c r="CN82" i="39" s="1"/>
  <c r="CN80" i="39"/>
  <c r="CN81" i="39" s="1"/>
  <c r="CM80" i="39"/>
  <c r="CL82" i="39" s="1"/>
  <c r="CL80" i="39"/>
  <c r="CL81" i="39" s="1"/>
  <c r="CK80" i="39"/>
  <c r="CJ82" i="39" s="1"/>
  <c r="CJ80" i="39"/>
  <c r="CJ81" i="39" s="1"/>
  <c r="CI80" i="39"/>
  <c r="CH82" i="39" s="1"/>
  <c r="CH80" i="39"/>
  <c r="CH81" i="39" s="1"/>
  <c r="CG80" i="39"/>
  <c r="CF82" i="39" s="1"/>
  <c r="CF80" i="39"/>
  <c r="CF81" i="39" s="1"/>
  <c r="CE80" i="39"/>
  <c r="CD82" i="39" s="1"/>
  <c r="CD80" i="39"/>
  <c r="CD81" i="39" s="1"/>
  <c r="CC80" i="39"/>
  <c r="CB82" i="39" s="1"/>
  <c r="CB80" i="39"/>
  <c r="CB81" i="39" s="1"/>
  <c r="CA80" i="39"/>
  <c r="BZ82" i="39" s="1"/>
  <c r="BZ80" i="39"/>
  <c r="BZ81" i="39" s="1"/>
  <c r="BY80" i="39"/>
  <c r="BX82" i="39" s="1"/>
  <c r="BX80" i="39"/>
  <c r="BX81" i="39" s="1"/>
  <c r="BW80" i="39"/>
  <c r="BV82" i="39" s="1"/>
  <c r="BV80" i="39"/>
  <c r="BV81" i="39" s="1"/>
  <c r="BU80" i="39"/>
  <c r="BT82" i="39" s="1"/>
  <c r="BT80" i="39"/>
  <c r="BT81" i="39" s="1"/>
  <c r="BS80" i="39"/>
  <c r="BR82" i="39" s="1"/>
  <c r="BR80" i="39"/>
  <c r="BR81" i="39" s="1"/>
  <c r="BQ80" i="39"/>
  <c r="BP82" i="39" s="1"/>
  <c r="BP80" i="39"/>
  <c r="BP81" i="39" s="1"/>
  <c r="BO80" i="39"/>
  <c r="BN82" i="39" s="1"/>
  <c r="BN80" i="39"/>
  <c r="BN81" i="39" s="1"/>
  <c r="BM80" i="39"/>
  <c r="BL82" i="39" s="1"/>
  <c r="BL80" i="39"/>
  <c r="BL81" i="39" s="1"/>
  <c r="BK80" i="39"/>
  <c r="BJ82" i="39" s="1"/>
  <c r="BJ80" i="39"/>
  <c r="BJ81" i="39" s="1"/>
  <c r="BI80" i="39"/>
  <c r="BH82" i="39" s="1"/>
  <c r="BH80" i="39"/>
  <c r="BH81" i="39" s="1"/>
  <c r="BG80" i="39"/>
  <c r="BF82" i="39" s="1"/>
  <c r="BF80" i="39"/>
  <c r="BF81" i="39" s="1"/>
  <c r="BE80" i="39"/>
  <c r="BD82" i="39" s="1"/>
  <c r="BD80" i="39"/>
  <c r="BD81" i="39" s="1"/>
  <c r="BC80" i="39"/>
  <c r="BB82" i="39" s="1"/>
  <c r="BB80" i="39"/>
  <c r="BB81" i="39" s="1"/>
  <c r="BA80" i="39"/>
  <c r="AZ82" i="39" s="1"/>
  <c r="AZ80" i="39"/>
  <c r="AZ81" i="39" s="1"/>
  <c r="AY80" i="39"/>
  <c r="AX82" i="39" s="1"/>
  <c r="AX80" i="39"/>
  <c r="AX81" i="39" s="1"/>
  <c r="AW80" i="39"/>
  <c r="AV82" i="39" s="1"/>
  <c r="AV80" i="39"/>
  <c r="AV81" i="39" s="1"/>
  <c r="AU80" i="39"/>
  <c r="AT82" i="39" s="1"/>
  <c r="AT80" i="39"/>
  <c r="AT81" i="39" s="1"/>
  <c r="AS80" i="39"/>
  <c r="AR82" i="39" s="1"/>
  <c r="AR80" i="39"/>
  <c r="AR81" i="39" s="1"/>
  <c r="AQ80" i="39"/>
  <c r="AP82" i="39" s="1"/>
  <c r="AP80" i="39"/>
  <c r="AP81" i="39" s="1"/>
  <c r="AO80" i="39"/>
  <c r="AN82" i="39" s="1"/>
  <c r="AN80" i="39"/>
  <c r="AN81" i="39" s="1"/>
  <c r="AM80" i="39"/>
  <c r="AL82" i="39" s="1"/>
  <c r="AL80" i="39"/>
  <c r="AL81" i="39" s="1"/>
  <c r="AK80" i="39"/>
  <c r="AJ82" i="39" s="1"/>
  <c r="AJ80" i="39"/>
  <c r="AJ81" i="39" s="1"/>
  <c r="AI80" i="39"/>
  <c r="AH82" i="39" s="1"/>
  <c r="AH80" i="39"/>
  <c r="AH81" i="39" s="1"/>
  <c r="AG80" i="39"/>
  <c r="AF82" i="39" s="1"/>
  <c r="AF80" i="39"/>
  <c r="AF81" i="39" s="1"/>
  <c r="AE80" i="39"/>
  <c r="AD82" i="39" s="1"/>
  <c r="AD80" i="39"/>
  <c r="AD81" i="39" s="1"/>
  <c r="AC80" i="39"/>
  <c r="AB82" i="39" s="1"/>
  <c r="AB80" i="39"/>
  <c r="AB81" i="39" s="1"/>
  <c r="AA80" i="39"/>
  <c r="Z82" i="39" s="1"/>
  <c r="Z80" i="39"/>
  <c r="Z81" i="39" s="1"/>
  <c r="Y80" i="39"/>
  <c r="X82" i="39" s="1"/>
  <c r="X80" i="39"/>
  <c r="X81" i="39" s="1"/>
  <c r="W80" i="39"/>
  <c r="V82" i="39" s="1"/>
  <c r="V80" i="39"/>
  <c r="V81" i="39" s="1"/>
  <c r="U80" i="39"/>
  <c r="T82" i="39" s="1"/>
  <c r="T80" i="39"/>
  <c r="T81" i="39" s="1"/>
  <c r="S80" i="39"/>
  <c r="R82" i="39" s="1"/>
  <c r="R80" i="39"/>
  <c r="R81" i="39" s="1"/>
  <c r="Q80" i="39"/>
  <c r="P82" i="39" s="1"/>
  <c r="P80" i="39"/>
  <c r="P81" i="39" s="1"/>
  <c r="O80" i="39"/>
  <c r="N82" i="39" s="1"/>
  <c r="N83" i="39" s="1"/>
  <c r="CR5" i="39"/>
  <c r="CS5" i="39" s="1"/>
  <c r="CN83" i="39" l="1"/>
  <c r="CL83" i="39"/>
  <c r="AF83" i="39"/>
  <c r="BT83" i="39"/>
  <c r="BR83" i="39"/>
  <c r="BL83" i="39"/>
  <c r="X83" i="39"/>
  <c r="CJ83" i="39"/>
  <c r="CH83" i="39"/>
  <c r="CF83" i="39"/>
  <c r="CD83" i="39"/>
  <c r="CB83" i="39"/>
  <c r="BZ83" i="39"/>
  <c r="BX83" i="39"/>
  <c r="BV83" i="39"/>
  <c r="BP83" i="39"/>
  <c r="BN83" i="39"/>
  <c r="BJ83" i="39"/>
  <c r="BH83" i="39"/>
  <c r="BF83" i="39"/>
  <c r="BD83" i="39"/>
  <c r="BB83" i="39"/>
  <c r="AZ83" i="39"/>
  <c r="AX83" i="39"/>
  <c r="AV83" i="39"/>
  <c r="AT83" i="39"/>
  <c r="AR83" i="39"/>
  <c r="AP83" i="39"/>
  <c r="AN83" i="39"/>
  <c r="AL83" i="39"/>
  <c r="AJ83" i="39"/>
  <c r="AH83" i="39"/>
  <c r="AD83" i="39"/>
  <c r="AB83" i="39"/>
  <c r="Z83" i="39"/>
  <c r="V83" i="39"/>
  <c r="T83" i="39"/>
  <c r="R83" i="39"/>
  <c r="P83"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tc={D95C3634-F20A-4888-82F4-2306F99D3D9E}</author>
    <author>tc={38FA18C3-8311-4E8C-893E-DB451EBE8062}</author>
    <author>tc={9173CC8A-5398-4902-8511-18D669DCA611}</author>
    <author>tc={F9FD63FF-EAB0-4B00-AC86-E99E69418FE1}</author>
    <author>tc={D1ED4BEB-B3F2-4419-B9AB-7B975AA18FCB}</author>
  </authors>
  <commentList>
    <comment ref="B8" authorId="0" shapeId="0" xr:uid="{D95C3634-F20A-4888-82F4-2306F99D3D9E}">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Informe aqui a quantidade de Situações de Aprendizagem (SA) trabalhadas durante o curso.
Lembre-se de que o número de SA deve estar alinhado à utilização de todas as capacidades que precisam ser obrigatoriamente desenvolvidas. </t>
      </text>
    </comment>
    <comment ref="F8" authorId="1" shapeId="0" xr:uid="{38FA18C3-8311-4E8C-893E-DB451EBE806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O número de aulas dadas deve ser calculado de acordo com a carga horária total do curso, considerando:
4 horas por dia para cursos regulares; ou 5 horas e 20 minutos por dia para o Novo Ensino Médio.
Exemplo: Carga Horária Total / 4h, 220/4, 55 dias/aulas.
</t>
      </text>
    </comment>
    <comment ref="H8" authorId="2" shapeId="0" xr:uid="{9173CC8A-5398-4902-8511-18D669DCA61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Hard Skills
No plano de curso, quando a unidade curricular integrar o Módulo Básico ou Introdutório, deverão ser consideradas as capacidades básicas correspondentes.
Já nas unidades curriculares que compõem o Módulo Específico, deve-se indicar a quantidade de capacidades técnicas, apresentando o total de capacidades que serão desenvolvidas ao longo do módulo. </t>
      </text>
    </comment>
    <comment ref="B11" authorId="3" shapeId="0" xr:uid="{F9FD63FF-EAB0-4B00-AC86-E99E69418FE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Essas capacidades estão relacionadas às chamadas hard skills, que envolvem aspectos técnicos e específicos da área de formação, como o domínio de ferramentas, procedimentos, linguagens e tecnologias </t>
      </text>
    </comment>
    <comment ref="B44" authorId="4" shapeId="0" xr:uid="{D1ED4BEB-B3F2-4419-B9AB-7B975AA18FCB}">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Essas capacidades estão relacionadas às chamadas soft skills, que envolvem aspectos como comunicação, trabalho em equipe, empatia, responsabilidade, pensamento crítico, proatividade e gestão emocional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tc={1A843B97-BE00-4E19-9B7F-AB0D7729A1FD}</author>
    <author>tc={A3434BAD-D14A-4642-BEEF-1248BA388A5D}</author>
    <author>tc={B93EF800-4E58-4AB9-9C5D-E94530968B87}</author>
    <author>tc={6A97B8D1-9C6C-497C-9403-C83184057A84}</author>
    <author>tc={45A3E056-7C7C-4D6C-98B7-061046E5F972}</author>
    <author>tc={A12373D7-B5E7-425D-8E1B-1B3F22A824E3}</author>
    <author>tc={867B3355-FE53-41C8-B7B3-467B80B1AAA1}</author>
    <author>tc={27F423A7-D151-4E64-A5E4-74A9820C765A}</author>
  </authors>
  <commentList>
    <comment ref="B6" authorId="0" shapeId="0" xr:uid="{1A843B97-BE00-4E19-9B7F-AB0D7729A1FD}">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As Estratégias de Aprendizagem Desafiadoras da MSEP
Na Metodologia SENAI de Educação Profissional (MSEP), o desenvolvimento das capacidades do estudante é o centro do processo formativo.
Para isso, o docente precisa escolher estratégias de aprendizagem desafiadoras — situações reais e instigantes que promovem a autonomia, a resolução de problemas e a aplicação prática do conhecimento.
Cada estratégia possui características específicas e deve ser selecionada conforme o tipo de capacidade que se deseja desenvolver.
1. Situação-Problema
O que é:
É uma estratégia que apresenta aos estudantes um problema real ou simulado relacionado ao contexto profissional. O estudante deve analisar as causas, levantar hipóteses e propor soluções viáveis.
Características principais:
Baseia-se em uma situação desafiadora do mundo do trabalho;
Estimula o pensamento crítico, a investigação e a tomada de decisão;
Promove discussões em grupo e trabalho colaborativo;
Desenvolve a capacidade de resolver problemas complexos e inéditos.
Exemplo:
Uma empresa percebe que seus produtos estão apresentando falhas na pintura após o processo de secagem. A turma de Técnico em Eletromecânica deve investigar as possíveis causas (umidade, temperatura do forno, tipo de tinta, etc.) e propor ações corretivas e preventivas para eliminar o defeito.
2. Pesquisa Aplicada
O que é:
É uma estratégia que incentiva o estudante a buscar, analisar e aplicar informações para resolver um problema ou aprimorar um processo.
Valoriza a curiosidade, a autonomia e a investigação científica aplicada ao contexto técnico.
Características principais:
Desenvolve a autonomia intelectual e a capacidade investigativa;
Exige levantamento e análise de dados;
Estimula a busca por inovação e melhoria contínua;
Aproxima a teoria da prática com base em evidências concretas.
Exemplo:
A turma de Refrigeração e Climatização recebe o desafio de propor uma alternativa sustentável para reduzir o consumo de energia em sistemas de refrigeração comercial. Os estudantes realizam pesquisas sobre gases ecológicos e tecnologias de eficiência energética, e elaboram um relatório técnico com proposta viável.
3. Estudo de Caso
O que é:
É uma estratégia que apresenta uma situação real já ocorrida, geralmente documentada em relatórios, vídeos, imagens ou descrições técnicas.
Os estudantes devem analisar o caso, identificar os problemas e discutir as possíveis soluções, comparando diferentes pontos de vista.
Características principais:
Baseia-se em situações reais e documentadas;
Estimula a análise crítica, o julgamento técnico e a argumentação;
Permite discussão e debate de diferentes soluções possíveis;
Desenvolve a capacidade de aplicar conhecimentos teóricos em contextos práticos.
Exemplo:
Os alunos do curso de Segurança do Trabalho recebem um relatório de acidente ocorrido em uma indústria. Após analisar as causas e consequências, devem identificar as falhas nas medidas preventivas e propor ações corretivas baseadas nas normas regulamentadoras (NRs).
4. Projeto / Projeto Integrador
O que é:
É uma estratégia de aprendizagem que propõe o desenvolvimento de um produto, serviço ou processo, desde o planejamento até a execução e avaliação dos resultados.
No Projeto Integrador, diferentes Unidades Curriculares se articulam para desenvolver uma solução interdisciplinar.
Características principais:
Promove integração entre teoria e prática;
Incentiva o trabalho em equipe, o planejamento e a inovação;
Desenvolve autonomia, criatividade e gestão de processos;
Relaciona-se diretamente ao contexto da indústria e às demandas reais do setor produtivo.
Exemplo:
No curso de Edificações, os estudantes desenvolvem um projeto de acessibilidade para uma escola pública, considerando normas técnicas, orçamentos e sustentabilidade. O projeto é apresentado à comunidade escolar e pode ser adaptado para execução real.
</t>
      </text>
    </comment>
    <comment ref="B9" authorId="1" shapeId="0" xr:uid="{A3434BAD-D14A-4642-BEEF-1248BA388A5D}">
      <text>
        <t>[Comentário encadeado]
Sua versão do Excel permite que você leia este comentário encadeado, no entanto, as edições serão removidas se o arquivo for aberto em uma versão mais recente do Excel. Saiba mais: https://go.microsoft.com/fwlink/?linkid=870924
Comentário:
    A contextualização da SA consiste em relacionar os conteúdos e habilidades trabalhados com situações reais do mundo do trabalho, tornando o aprendizado mais significativo e aplicável. Ela permite que o estudante compreenda a utilidade prática do que está aprendendo e desenvolva competências profissionais de forma integrada.
O contexto não pode ser muito abrangente, de modo a levar a um distanciamento dos aspectos realmente importantes, nem tão limitado, a ponto de suprimir informações pertinentes ao desafio.</t>
      </text>
    </comment>
    <comment ref="D12" authorId="2" shapeId="0" xr:uid="{B93EF800-4E58-4AB9-9C5D-E94530968B87}">
      <text>
        <t>[Comentário encadeado]
Sua versão do Excel permite que você leia este comentário encadeado, no entanto, as edições serão removidas se o arquivo for aberto em uma versão mais recente do Excel. Saiba mais: https://go.microsoft.com/fwlink/?linkid=870924
Comentário:
    Capacidades a serem desenvolvidas
O que é:
São as competências práticas, cognitivas e socioemocionais que o aluno deverá desenvolver durante a Situação de Aprendizagem. Essas capacidades estão diretamente relacionadas às habilidades profissionais previstas no curso e orientam o desenvolvimento do “aprender fazendo”.
Como preencher:
Esse campo deve conter somente as capacidades que serão efetivamente mobilizadas para realizar a atividade desafiadora proposta.
A escolha e a redação dessas capacidades devem seguir a progressão evolutiva do processo de ensino-aprendizagem, conforme a Taxonomia de Bloom, que organiza as ações cognitivas em níveis crescentes de complexidade (reconhecer → compreender → aplicar → analisar → avaliar → criar).
Assim, antes de aplicar conhecimentos, o aluno precisa reconhecer ferramentas, equipamentos, fórmulas e procedimentos, evoluindo gradualmente para atividades de maior autonomia e tomada de decisão.</t>
      </text>
    </comment>
    <comment ref="G12" authorId="3" shapeId="0" xr:uid="{6A97B8D1-9C6C-497C-9403-C83184057A84}">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Conhecimentos
O que é:
São os saberes teóricos, conceituais e procedimentais que o aluno precisa mobilizar para desenvolver as capacidades desafiadas na Situação de Aprendizagem. Esses conhecimentos dão suporte à prática e garantem que o estudante compreenda o porquê e o como de cada ação executada, integrando teoria e prática de forma significativa.
Como preencher:
Devem ser listados apenas os conhecimentos diretamente relacionados às capacidades que serão desenvolvidas na atividade desafiadora proposta.
</t>
      </text>
    </comment>
    <comment ref="I12" authorId="4" shapeId="0" xr:uid="{45A3E056-7C7C-4D6C-98B7-061046E5F97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Desafios
O que é:
São as situações-problema ou atividades desafiadoras que serão propostas para o aluno. Representam o “contexto de trabalho” que estimula o “aprender fazendo”.
Como preencher:
Descreva o desafio de forma prática e contextualizada.
Exemplo:
O aluno deverá identificar as causas prováveis da infiltração e propor uma solução técnica viável e segura, considerando:
as etapas executivas da construção;
os materiais aplicados;
as condições do ambiente;
e o custo-benefício das alternativas.
</t>
      </text>
    </comment>
    <comment ref="J12" authorId="5" shapeId="0" xr:uid="{A12373D7-B5E7-425D-8E1B-1B3F22A824E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Resultado Esperado
O que é:
É o produto final ou comportamento observável que demonstra que o aluno desenvolveu as capacidades.
Pode ser algo tangível (um relatório, protótipo, conserto, apresentação) ou intangível (comunicação eficaz, tomada de decisão, trabalho em equipe).
Como preencher:
Descreva o que o aluno deverá entregar, demonstrar ou apresentar ao final.
Use indicadores observáveis e coerentes com as capacidades e o desafio.
Exemplo:
Realizar pesquisa aplicada sobre tipos e causas de infiltração;
Fazer análise de um estudo de caso real ou simulado (imagens, relatórios, vídeos da obra);
Propor um plano de intervenção técnica, apresentando a solução escolhida e justificando tecnicamente;
Produzir relatório técnico e apresentar oralmente as conclusões para a turma.
</t>
      </text>
    </comment>
    <comment ref="K12" authorId="6" shapeId="0" xr:uid="{867B3355-FE53-41C8-B7B3-467B80B1AAA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1. Exposição Dialogada
O que é:
Método em que o professor apresenta conceitos e informações, estimulando a participação ativa dos alunos por meio de perguntas, comentários e reflexões.
Como aplicar:
Utilizar para introduzir novos conhecimentos, contextualizar o desafio e construir entendimento coletivo.
Pode incluir uso de slides, vídeos curtos e discussões guiadas.
Objetivo:
Favorecer a compreensão conceitual e o pensamento crítico sobre o conteúdo apresentado.
2. Atividade Prática
O que é:
Execução de tarefas reais ou simuladas em laboratório, oficina ou ambiente controlado, em que o aluno aplica na prática o que aprendeu.
Como aplicar:
Propor atividades que exijam uso de ferramentas, instrumentos, softwares ou equipamentos, com foco no “aprender fazendo”.
Objetivo:
Desenvolver capacidades técnicas e procedimentais, promovendo a autonomia e a segurança na execução.
3. Trabalho em Grupo
O que é:
Estratégia que estimula a colaboração e o protagonismo entre os alunos, permitindo que construam soluções de forma coletiva.
Como aplicar:
Organizar grupos com papéis definidos (líder, relator, executor etc.), propondo desafios que demandem planejamento, debate e cooperação.
Objetivo:
Desenvolver competências socioemocionais, como comunicação, responsabilidade e empatia.
4. Dinâmica de Grupo
O que é:
Atividade interativa planejada para estimular o engajamento, a integração e a reflexão coletiva.
Como aplicar:
Usar no início da SA para integrar a turma ou durante o processo para refletir sobre atitudes e valores profissionais.
Objetivo:
Fortalecer o trabalho em equipe e a motivação para a aprendizagem.
5. Visita Técnica
O que é:
Vivência em ambiente profissional real, com observação e análise de processos, tecnologias e práticas de trabalho.
Como aplicar:
Planejar previamente os objetivos da visita e orientar os alunos a registrar observações técnicas.
Após a visita, promover uma discussão sobre o que foi aprendido.
Objetivo:
Relacionar teoria e prática, e desenvolver visão crítica sobre o mundo do trabalho.
6. Ensaio Tecnológico
O que é:
Atividade experimental em que os alunos realizam testes, medições e verificações técnicas para avaliar o desempenho de materiais, processos ou equipamentos.
Como aplicar:
Definir um protocolo de ensaio, orientar sobre instrumentos e normas técnicas, e analisar os resultados com a turma.
Objetivo:
Desenvolver raciocínio científico, precisão técnica e interpretação de dados.
7. Workshop
O que é:
Oficina prática e colaborativa voltada à experimentação de técnicas, tecnologias ou metodologias.
Como aplicar:
Organizar sessões curtas e objetivas, com atividades práticas e momentos de socialização dos resultados.
Objetivo:
Favorecer o intercâmbio de experiências e o aprimoramento técnico.
8. Seminário
O que é:
Apresentação oral de temas pelos alunos, seguida de discussão mediada pelo professor.
Como aplicar:
Propor pesquisas orientadas e apresentação dos resultados com base em critérios técnicos e científicos.
Objetivo:
Desenvolver comunicação técnica, autonomia intelectual e capacidade argumentativa.
9. Painel Temático
O que é:
Discussão estruturada de um tema relevante, com participação ativa dos alunos em papéis distintos (expositores, debatedores, mediadores).
Como aplicar:
Usar para aprofundar temas transversais ou analisar diferentes perspectivas sobre um mesmo problema.
Objetivo:
Estimular o pensamento crítico, a análise comparativa e o respeito à diversidade de ideias.
10. Gamificação
O que é:
Uso de elementos de jogos (pontos, missões, desafios, rankings) em contextos educacionais para estimular o engajamento e a motivação.
Como aplicar:
Criar missões ou desafios com recompensas simbólicas, competições saudáveis ou simulações gamificadas.
Objetivo:
Promover aprendizagem lúdica e motivação intrínseca para alcançar os resultados esperados.
11. Sala de Aula Invertida
O que é:
Metodologia em que o aluno estuda os conceitos teóricos antecipadamente (por meio de vídeos, textos, podcasts) e utiliza o tempo em sala para atividades práticas e discussões.
Como aplicar:
Disponibilizar conteúdos prévios, propor um desafio e, em sala, orientar a aplicação prática e resolução de problemas.
Objetivo:
Estimular a autonomia, autogestão da aprendizagem e o pensamento aplicado.
12. Design Thinking
O que é:
Metodologia centrada no ser humano, usada para resolver problemas complexos de forma criativa, colaborativa e empática.
Como aplicar:
Seguir as etapas: empatia → definição do problema → ideação → prototipagem → teste, aplicando-as a um desafio técnico real.
Objetivo:
Desenvolver pensamento criativo, solução de problemas e inovação tecnológica.
</t>
      </text>
    </comment>
    <comment ref="L12" authorId="7" shapeId="0" xr:uid="{27F423A7-D151-4E64-A5E4-74A9820C765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1. Avaliação
O que é:
Processo contínuo e sistemático que permite verificar o desenvolvimento das capacidades, conhecimentos e atitudes dos alunos.
Como aplicar:
Pode ser diagnóstica (antes da SA), formativa (durante o processo) ou somativa (ao final). Deve estar vinculada aos critérios de desempenho definidos na Situação de Aprendizagem.
Objetivo:
Acompanhar a evolução do aluno e reorientar o processo de ensino e aprendizagem.
2. Fichas de Observação
O que é:
Instrumento utilizado pelo professor para registrar comportamentos, atitudes e desempenhos observáveis durante atividades práticas ou em grupo.
Como aplicar:
Elaborar fichas com critérios objetivos (ex.: organização, uso de ferramentas, cooperação, cumprimento de normas de segurança). Preencher ao longo da execução das atividades.
Objetivo:
Avaliar desempenho prático, postura profissional e atitudes de forma contínua e qualitativa.
3. Relatórios
O que é:
Documento elaborado pelo aluno ou grupo com a descrição técnica e analítica das atividades realizadas, resultados obtidos e conclusões.
Como aplicar:
Solicitar relatórios após ensaios, visitas técnicas, projetos ou experimentos, orientando a estrutura (introdução, desenvolvimento, análise e conclusão).
Objetivo:
Desenvolver comunicação técnica escrita, interpretação de resultados e capacidade reflexiva.
4. Portfólios
O que é:
Coletânea de evidências (relatórios, registros fotográficos, anotações, produtos e reflexões) que mostram a evolução do aprendizado ao longo do tempo.
Como aplicar:
Organizar os materiais por etapas ou Situações de Aprendizagem, incentivando o aluno a registrar seu progresso e autocrítica.
Objetivo:
Valorizar o processo de aprendizagem e não apenas o resultado final.
5. Provas Objetivas
O que é:
Instrumento composto por questões de múltipla escolha, verdadeiro ou falso, associação ou lacunas, com respostas previamente determinadas.
Como aplicar:
Utilizar para verificar assimilação conceitual e terminológica, especialmente em conteúdos teóricos ou de base técnica.
Objetivo:
Mensurar conhecimento factual e conceitual de forma rápida e padronizada.
6. Provas de Respostas Construídas
O que é:
Instrumento em que o aluno deve redigir respostas, justificar raciocínios ou propor soluções com base em situações-problema.
Como aplicar:
Apresentar questões abertas que exijam interpretação, argumentação e aplicação de conceitos técnicos.
Objetivo:
Avaliar raciocínio lógico, pensamento crítico e capacidade de resolver problemas.
7. Provas Práticas
O que é:
Avaliações realizadas em ambiente prático (laboratório, oficina ou campo), onde o aluno executa procedimentos técnicos e demonstra suas competências.
Como aplicar:
Definir tarefas ou desafios reais, com critérios de avaliação claros (execução correta, tempo, qualidade, segurança, organização).
Objetivo:
Comprovar domínio técnico e procedimental do aluno em situações reais de trabalho.
8. Autoavaliações
O que é:
Instrumento em que o aluno reflete sobre o próprio desempenho, identificando avanços, dificuldades e metas pessoais de aprendizagem.
Como aplicar:
Aplicar ao final da SA ou de cada etapa, com perguntas orientadoras (ex.: “O que aprendi?”, “Em que posso melhorar?”, “Como me senti durante a atividade?”).
Objetivo:
Promover autonomia, autocrítica e responsabilidade pelo próprio aprendizado.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tc={839C17A8-6FEC-42F8-B7F4-2F8EE2C8B64B}</author>
    <author>tc={C69133F9-99FB-4CF4-BA1F-080ECEF391B2}</author>
    <author>tc={4C3878C1-9D6E-430D-992B-C406F4B1F4FB}</author>
    <author>tc={7CEEA2AD-3F63-48A9-97BE-B1FA224CD99D}</author>
    <author>tc={E0DB0CD8-95DD-4E68-B0A9-F704F52A2EE3}</author>
    <author>tc={9C44A52B-1A26-45D6-9755-049CAF7475CF}</author>
    <author>tc={BD751FDC-DA3A-427F-8E62-1BD6E46F2098}</author>
    <author>tc={C614A58F-7277-43EE-B957-EDBC78F7E781}</author>
  </authors>
  <commentList>
    <comment ref="B6" authorId="0" shapeId="0" xr:uid="{839C17A8-6FEC-42F8-B7F4-2F8EE2C8B64B}">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As Estratégias de Aprendizagem Desafiadoras da MSEP
Na Metodologia SENAI de Educação Profissional (MSEP), o desenvolvimento das capacidades do estudante é o centro do processo formativo.
Para isso, o docente precisa escolher estratégias de aprendizagem desafiadoras — situações reais e instigantes que promovem a autonomia, a resolução de problemas e a aplicação prática do conhecimento.
Cada estratégia possui características específicas e deve ser selecionada conforme o tipo de capacidade que se deseja desenvolver.
1. Situação-Problema
O que é:
É uma estratégia que apresenta aos estudantes um problema real ou simulado relacionado ao contexto profissional. O estudante deve analisar as causas, levantar hipóteses e propor soluções viáveis.
Características principais:
Baseia-se em uma situação desafiadora do mundo do trabalho;
Estimula o pensamento crítico, a investigação e a tomada de decisão;
Promove discussões em grupo e trabalho colaborativo;
Desenvolve a capacidade de resolver problemas complexos e inéditos.
Exemplo:
Uma empresa percebe que seus produtos estão apresentando falhas na pintura após o processo de secagem. A turma de Técnico em Eletromecânica deve investigar as possíveis causas (umidade, temperatura do forno, tipo de tinta, etc.) e propor ações corretivas e preventivas para eliminar o defeito.
2. Pesquisa Aplicada
O que é:
É uma estratégia que incentiva o estudante a buscar, analisar e aplicar informações para resolver um problema ou aprimorar um processo.
Valoriza a curiosidade, a autonomia e a investigação científica aplicada ao contexto técnico.
Características principais:
Desenvolve a autonomia intelectual e a capacidade investigativa;
Exige levantamento e análise de dados;
Estimula a busca por inovação e melhoria contínua;
Aproxima a teoria da prática com base em evidências concretas.
Exemplo:
A turma de Refrigeração e Climatização recebe o desafio de propor uma alternativa sustentável para reduzir o consumo de energia em sistemas de refrigeração comercial. Os estudantes realizam pesquisas sobre gases ecológicos e tecnologias de eficiência energética, e elaboram um relatório técnico com proposta viável.
3. Estudo de Caso
O que é:
É uma estratégia que apresenta uma situação real já ocorrida, geralmente documentada em relatórios, vídeos, imagens ou descrições técnicas.
Os estudantes devem analisar o caso, identificar os problemas e discutir as possíveis soluções, comparando diferentes pontos de vista.
Características principais:
Baseia-se em situações reais e documentadas;
Estimula a análise crítica, o julgamento técnico e a argumentação;
Permite discussão e debate de diferentes soluções possíveis;
Desenvolve a capacidade de aplicar conhecimentos teóricos em contextos práticos.
Exemplo:
Os alunos do curso de Segurança do Trabalho recebem um relatório de acidente ocorrido em uma indústria. Após analisar as causas e consequências, devem identificar as falhas nas medidas preventivas e propor ações corretivas baseadas nas normas regulamentadoras (NRs).
4. Projeto / Projeto Integrador
O que é:
É uma estratégia de aprendizagem que propõe o desenvolvimento de um produto, serviço ou processo, desde o planejamento até a execução e avaliação dos resultados.
No Projeto Integrador, diferentes Unidades Curriculares se articulam para desenvolver uma solução interdisciplinar.
Características principais:
Promove integração entre teoria e prática;
Incentiva o trabalho em equipe, o planejamento e a inovação;
Desenvolve autonomia, criatividade e gestão de processos;
Relaciona-se diretamente ao contexto da indústria e às demandas reais do setor produtivo.
Exemplo:
No curso de Edificações, os estudantes desenvolvem um projeto de acessibilidade para uma escola pública, considerando normas técnicas, orçamentos e sustentabilidade. O projeto é apresentado à comunidade escolar e pode ser adaptado para execução real.
</t>
      </text>
    </comment>
    <comment ref="B9" authorId="1" shapeId="0" xr:uid="{C69133F9-99FB-4CF4-BA1F-080ECEF391B2}">
      <text>
        <t>[Comentário encadeado]
Sua versão do Excel permite que você leia este comentário encadeado, no entanto, as edições serão removidas se o arquivo for aberto em uma versão mais recente do Excel. Saiba mais: https://go.microsoft.com/fwlink/?linkid=870924
Comentário:
    A contextualização da SA consiste em relacionar os conteúdos e habilidades trabalhados com situações reais do mundo do trabalho, tornando o aprendizado mais significativo e aplicável. Ela permite que o estudante compreenda a utilidade prática do que está aprendendo e desenvolva competências profissionais de forma integrada.
O contexto não pode ser muito abrangente, de modo a levar a um distanciamento dos aspectos realmente importantes, nem tão limitado, a ponto de suprimir informações pertinentes ao desafio.</t>
      </text>
    </comment>
    <comment ref="D12" authorId="2" shapeId="0" xr:uid="{4C3878C1-9D6E-430D-992B-C406F4B1F4FB}">
      <text>
        <t>[Comentário encadeado]
Sua versão do Excel permite que você leia este comentário encadeado, no entanto, as edições serão removidas se o arquivo for aberto em uma versão mais recente do Excel. Saiba mais: https://go.microsoft.com/fwlink/?linkid=870924
Comentário:
    Capacidades a serem desenvolvidas
O que é:
São as competências práticas, cognitivas e socioemocionais que o aluno deverá desenvolver durante a Situação de Aprendizagem. Essas capacidades estão diretamente relacionadas às habilidades profissionais previstas no curso e orientam o desenvolvimento do “aprender fazendo”.
Como preencher:
Esse campo deve conter somente as capacidades que serão efetivamente mobilizadas para realizar a atividade desafiadora proposta.
A escolha e a redação dessas capacidades devem seguir a progressão evolutiva do processo de ensino-aprendizagem, conforme a Taxonomia de Bloom, que organiza as ações cognitivas em níveis crescentes de complexidade (reconhecer → compreender → aplicar → analisar → avaliar → criar).
Assim, antes de aplicar conhecimentos, o aluno precisa reconhecer ferramentas, equipamentos, fórmulas e procedimentos, evoluindo gradualmente para atividades de maior autonomia e tomada de decisão.</t>
      </text>
    </comment>
    <comment ref="G12" authorId="3" shapeId="0" xr:uid="{7CEEA2AD-3F63-48A9-97BE-B1FA224CD99D}">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Conhecimentos
O que é:
São os saberes teóricos, conceituais e procedimentais que o aluno precisa mobilizar para desenvolver as capacidades desafiadas na Situação de Aprendizagem. Esses conhecimentos dão suporte à prática e garantem que o estudante compreenda o porquê e o como de cada ação executada, integrando teoria e prática de forma significativa.
Como preencher:
Devem ser listados apenas os conhecimentos diretamente relacionados às capacidades que serão desenvolvidas na atividade desafiadora proposta.
</t>
      </text>
    </comment>
    <comment ref="I12" authorId="4" shapeId="0" xr:uid="{E0DB0CD8-95DD-4E68-B0A9-F704F52A2EE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Desafios
O que é:
São as situações-problema ou atividades desafiadoras que serão propostas para o aluno. Representam o “contexto de trabalho” que estimula o “aprender fazendo”.
Como preencher:
Descreva o desafio de forma prática e contextualizada.
Exemplo:
O aluno deverá identificar as causas prováveis da infiltração e propor uma solução técnica viável e segura, considerando:
as etapas executivas da construção;
os materiais aplicados;
as condições do ambiente;
e o custo-benefício das alternativas.
</t>
      </text>
    </comment>
    <comment ref="J12" authorId="5" shapeId="0" xr:uid="{9C44A52B-1A26-45D6-9755-049CAF7475C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Resultado Esperado
O que é:
É o produto final ou comportamento observável que demonstra que o aluno desenvolveu as capacidades.
Pode ser algo tangível (um relatório, protótipo, conserto, apresentação) ou intangível (comunicação eficaz, tomada de decisão, trabalho em equipe).
Como preencher:
Descreva o que o aluno deverá entregar, demonstrar ou apresentar ao final.
Use indicadores observáveis e coerentes com as capacidades e o desafio.
Exemplo:
Realizar pesquisa aplicada sobre tipos e causas de infiltração;
Fazer análise de um estudo de caso real ou simulado (imagens, relatórios, vídeos da obra);
Propor um plano de intervenção técnica, apresentando a solução escolhida e justificando tecnicamente;
Produzir relatório técnico e apresentar oralmente as conclusões para a turma.
</t>
      </text>
    </comment>
    <comment ref="K12" authorId="6" shapeId="0" xr:uid="{BD751FDC-DA3A-427F-8E62-1BD6E46F209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1. Exposição Dialogada
O que é:
Método em que o professor apresenta conceitos e informações, estimulando a participação ativa dos alunos por meio de perguntas, comentários e reflexões.
Como aplicar:
Utilizar para introduzir novos conhecimentos, contextualizar o desafio e construir entendimento coletivo.
Pode incluir uso de slides, vídeos curtos e discussões guiadas.
Objetivo:
Favorecer a compreensão conceitual e o pensamento crítico sobre o conteúdo apresentado.
2. Atividade Prática
O que é:
Execução de tarefas reais ou simuladas em laboratório, oficina ou ambiente controlado, em que o aluno aplica na prática o que aprendeu.
Como aplicar:
Propor atividades que exijam uso de ferramentas, instrumentos, softwares ou equipamentos, com foco no “aprender fazendo”.
Objetivo:
Desenvolver capacidades técnicas e procedimentais, promovendo a autonomia e a segurança na execução.
3. Trabalho em Grupo
O que é:
Estratégia que estimula a colaboração e o protagonismo entre os alunos, permitindo que construam soluções de forma coletiva.
Como aplicar:
Organizar grupos com papéis definidos (líder, relator, executor etc.), propondo desafios que demandem planejamento, debate e cooperação.
Objetivo:
Desenvolver competências socioemocionais, como comunicação, responsabilidade e empatia.
4. Dinâmica de Grupo
O que é:
Atividade interativa planejada para estimular o engajamento, a integração e a reflexão coletiva.
Como aplicar:
Usar no início da SA para integrar a turma ou durante o processo para refletir sobre atitudes e valores profissionais.
Objetivo:
Fortalecer o trabalho em equipe e a motivação para a aprendizagem.
5. Visita Técnica
O que é:
Vivência em ambiente profissional real, com observação e análise de processos, tecnologias e práticas de trabalho.
Como aplicar:
Planejar previamente os objetivos da visita e orientar os alunos a registrar observações técnicas.
Após a visita, promover uma discussão sobre o que foi aprendido.
Objetivo:
Relacionar teoria e prática, e desenvolver visão crítica sobre o mundo do trabalho.
6. Ensaio Tecnológico
O que é:
Atividade experimental em que os alunos realizam testes, medições e verificações técnicas para avaliar o desempenho de materiais, processos ou equipamentos.
Como aplicar:
Definir um protocolo de ensaio, orientar sobre instrumentos e normas técnicas, e analisar os resultados com a turma.
Objetivo:
Desenvolver raciocínio científico, precisão técnica e interpretação de dados.
7. Workshop
O que é:
Oficina prática e colaborativa voltada à experimentação de técnicas, tecnologias ou metodologias.
Como aplicar:
Organizar sessões curtas e objetivas, com atividades práticas e momentos de socialização dos resultados.
Objetivo:
Favorecer o intercâmbio de experiências e o aprimoramento técnico.
8. Seminário
O que é:
Apresentação oral de temas pelos alunos, seguida de discussão mediada pelo professor.
Como aplicar:
Propor pesquisas orientadas e apresentação dos resultados com base em critérios técnicos e científicos.
Objetivo:
Desenvolver comunicação técnica, autonomia intelectual e capacidade argumentativa.
9. Painel Temático
O que é:
Discussão estruturada de um tema relevante, com participação ativa dos alunos em papéis distintos (expositores, debatedores, mediadores).
Como aplicar:
Usar para aprofundar temas transversais ou analisar diferentes perspectivas sobre um mesmo problema.
Objetivo:
Estimular o pensamento crítico, a análise comparativa e o respeito à diversidade de ideias.
10. Gamificação
O que é:
Uso de elementos de jogos (pontos, missões, desafios, rankings) em contextos educacionais para estimular o engajamento e a motivação.
Como aplicar:
Criar missões ou desafios com recompensas simbólicas, competições saudáveis ou simulações gamificadas.
Objetivo:
Promover aprendizagem lúdica e motivação intrínseca para alcançar os resultados esperados.
11. Sala de Aula Invertida
O que é:
Metodologia em que o aluno estuda os conceitos teóricos antecipadamente (por meio de vídeos, textos, podcasts) e utiliza o tempo em sala para atividades práticas e discussões.
Como aplicar:
Disponibilizar conteúdos prévios, propor um desafio e, em sala, orientar a aplicação prática e resolução de problemas.
Objetivo:
Estimular a autonomia, autogestão da aprendizagem e o pensamento aplicado.
12. Design Thinking
O que é:
Metodologia centrada no ser humano, usada para resolver problemas complexos de forma criativa, colaborativa e empática.
Como aplicar:
Seguir as etapas: empatia → definição do problema → ideação → prototipagem → teste, aplicando-as a um desafio técnico real.
Objetivo:
Desenvolver pensamento criativo, solução de problemas e inovação tecnológica.
</t>
      </text>
    </comment>
    <comment ref="L12" authorId="7" shapeId="0" xr:uid="{C614A58F-7277-43EE-B957-EDBC78F7E78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1. Avaliação
O que é:
Processo contínuo e sistemático que permite verificar o desenvolvimento das capacidades, conhecimentos e atitudes dos alunos.
Como aplicar:
Pode ser diagnóstica (antes da SA), formativa (durante o processo) ou somativa (ao final). Deve estar vinculada aos critérios de desempenho definidos na Situação de Aprendizagem.
Objetivo:
Acompanhar a evolução do aluno e reorientar o processo de ensino e aprendizagem.
2. Fichas de Observação
O que é:
Instrumento utilizado pelo professor para registrar comportamentos, atitudes e desempenhos observáveis durante atividades práticas ou em grupo.
Como aplicar:
Elaborar fichas com critérios objetivos (ex.: organização, uso de ferramentas, cooperação, cumprimento de normas de segurança). Preencher ao longo da execução das atividades.
Objetivo:
Avaliar desempenho prático, postura profissional e atitudes de forma contínua e qualitativa.
3. Relatórios
O que é:
Documento elaborado pelo aluno ou grupo com a descrição técnica e analítica das atividades realizadas, resultados obtidos e conclusões.
Como aplicar:
Solicitar relatórios após ensaios, visitas técnicas, projetos ou experimentos, orientando a estrutura (introdução, desenvolvimento, análise e conclusão).
Objetivo:
Desenvolver comunicação técnica escrita, interpretação de resultados e capacidade reflexiva.
4. Portfólios
O que é:
Coletânea de evidências (relatórios, registros fotográficos, anotações, produtos e reflexões) que mostram a evolução do aprendizado ao longo do tempo.
Como aplicar:
Organizar os materiais por etapas ou Situações de Aprendizagem, incentivando o aluno a registrar seu progresso e autocrítica.
Objetivo:
Valorizar o processo de aprendizagem e não apenas o resultado final.
5. Provas Objetivas
O que é:
Instrumento composto por questões de múltipla escolha, verdadeiro ou falso, associação ou lacunas, com respostas previamente determinadas.
Como aplicar:
Utilizar para verificar assimilação conceitual e terminológica, especialmente em conteúdos teóricos ou de base técnica.
Objetivo:
Mensurar conhecimento factual e conceitual de forma rápida e padronizada.
6. Provas de Respostas Construídas
O que é:
Instrumento em que o aluno deve redigir respostas, justificar raciocínios ou propor soluções com base em situações-problema.
Como aplicar:
Apresentar questões abertas que exijam interpretação, argumentação e aplicação de conceitos técnicos.
Objetivo:
Avaliar raciocínio lógico, pensamento crítico e capacidade de resolver problemas.
7. Provas Práticas
O que é:
Avaliações realizadas em ambiente prático (laboratório, oficina ou campo), onde o aluno executa procedimentos técnicos e demonstra suas competências.
Como aplicar:
Definir tarefas ou desafios reais, com critérios de avaliação claros (execução correta, tempo, qualidade, segurança, organização).
Objetivo:
Comprovar domínio técnico e procedimental do aluno em situações reais de trabalho.
8. Autoavaliações
O que é:
Instrumento em que o aluno reflete sobre o próprio desempenho, identificando avanços, dificuldades e metas pessoais de aprendizagem.
Como aplicar:
Aplicar ao final da SA ou de cada etapa, com perguntas orientadoras (ex.: “O que aprendi?”, “Em que posso melhorar?”, “Como me senti durante a atividade?”).
Objetivo:
Promover autonomia, autocrítica e responsabilidade pelo próprio aprendizado.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tc={142CAB5E-8E8C-4B91-B158-D8182A5E85E2}</author>
    <author>tc={828F0A70-035B-4A26-A653-416237D3E324}</author>
    <author>tc={3A136AA5-4C54-4632-BA81-D1DD831E00A2}</author>
    <author>tc={40BBB096-34CE-4FDA-9D1D-9516046D055D}</author>
    <author>tc={D4ABD00B-C0FA-47EE-9A8E-9CA8D993A2D1}</author>
    <author>tc={E85E22F0-58F7-40EA-9DDB-1A54047BB086}</author>
    <author>tc={23EB87F0-C1AB-40C5-8E6D-6A548B284685}</author>
    <author>tc={3C5A0DCB-2D42-44FC-AED3-78F380233131}</author>
  </authors>
  <commentList>
    <comment ref="B6" authorId="0" shapeId="0" xr:uid="{142CAB5E-8E8C-4B91-B158-D8182A5E85E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As Estratégias de Aprendizagem Desafiadoras da MSEP
Na Metodologia SENAI de Educação Profissional (MSEP), o desenvolvimento das capacidades do estudante é o centro do processo formativo.
Para isso, o docente precisa escolher estratégias de aprendizagem desafiadoras — situações reais e instigantes que promovem a autonomia, a resolução de problemas e a aplicação prática do conhecimento.
Cada estratégia possui características específicas e deve ser selecionada conforme o tipo de capacidade que se deseja desenvolver.
1. Situação-Problema
O que é:
É uma estratégia que apresenta aos estudantes um problema real ou simulado relacionado ao contexto profissional. O estudante deve analisar as causas, levantar hipóteses e propor soluções viáveis.
Características principais:
Baseia-se em uma situação desafiadora do mundo do trabalho;
Estimula o pensamento crítico, a investigação e a tomada de decisão;
Promove discussões em grupo e trabalho colaborativo;
Desenvolve a capacidade de resolver problemas complexos e inéditos.
Exemplo:
Uma empresa percebe que seus produtos estão apresentando falhas na pintura após o processo de secagem. A turma de Técnico em Eletromecânica deve investigar as possíveis causas (umidade, temperatura do forno, tipo de tinta, etc.) e propor ações corretivas e preventivas para eliminar o defeito.
2. Pesquisa Aplicada
O que é:
É uma estratégia que incentiva o estudante a buscar, analisar e aplicar informações para resolver um problema ou aprimorar um processo.
Valoriza a curiosidade, a autonomia e a investigação científica aplicada ao contexto técnico.
Características principais:
Desenvolve a autonomia intelectual e a capacidade investigativa;
Exige levantamento e análise de dados;
Estimula a busca por inovação e melhoria contínua;
Aproxima a teoria da prática com base em evidências concretas.
Exemplo:
A turma de Refrigeração e Climatização recebe o desafio de propor uma alternativa sustentável para reduzir o consumo de energia em sistemas de refrigeração comercial. Os estudantes realizam pesquisas sobre gases ecológicos e tecnologias de eficiência energética, e elaboram um relatório técnico com proposta viável.
3. Estudo de Caso
O que é:
É uma estratégia que apresenta uma situação real já ocorrida, geralmente documentada em relatórios, vídeos, imagens ou descrições técnicas.
Os estudantes devem analisar o caso, identificar os problemas e discutir as possíveis soluções, comparando diferentes pontos de vista.
Características principais:
Baseia-se em situações reais e documentadas;
Estimula a análise crítica, o julgamento técnico e a argumentação;
Permite discussão e debate de diferentes soluções possíveis;
Desenvolve a capacidade de aplicar conhecimentos teóricos em contextos práticos.
Exemplo:
Os alunos do curso de Segurança do Trabalho recebem um relatório de acidente ocorrido em uma indústria. Após analisar as causas e consequências, devem identificar as falhas nas medidas preventivas e propor ações corretivas baseadas nas normas regulamentadoras (NRs).
4. Projeto / Projeto Integrador
O que é:
É uma estratégia de aprendizagem que propõe o desenvolvimento de um produto, serviço ou processo, desde o planejamento até a execução e avaliação dos resultados.
No Projeto Integrador, diferentes Unidades Curriculares se articulam para desenvolver uma solução interdisciplinar.
Características principais:
Promove integração entre teoria e prática;
Incentiva o trabalho em equipe, o planejamento e a inovação;
Desenvolve autonomia, criatividade e gestão de processos;
Relaciona-se diretamente ao contexto da indústria e às demandas reais do setor produtivo.
Exemplo:
No curso de Edificações, os estudantes desenvolvem um projeto de acessibilidade para uma escola pública, considerando normas técnicas, orçamentos e sustentabilidade. O projeto é apresentado à comunidade escolar e pode ser adaptado para execução real.
</t>
      </text>
    </comment>
    <comment ref="B9" authorId="1" shapeId="0" xr:uid="{828F0A70-035B-4A26-A653-416237D3E324}">
      <text>
        <t>[Comentário encadeado]
Sua versão do Excel permite que você leia este comentário encadeado, no entanto, as edições serão removidas se o arquivo for aberto em uma versão mais recente do Excel. Saiba mais: https://go.microsoft.com/fwlink/?linkid=870924
Comentário:
    A contextualização da SA consiste em relacionar os conteúdos e habilidades trabalhados com situações reais do mundo do trabalho, tornando o aprendizado mais significativo e aplicável. Ela permite que o estudante compreenda a utilidade prática do que está aprendendo e desenvolva competências profissionais de forma integrada.
O contexto não pode ser muito abrangente, de modo a levar a um distanciamento dos aspectos realmente importantes, nem tão limitado, a ponto de suprimir informações pertinentes ao desafio.</t>
      </text>
    </comment>
    <comment ref="D12" authorId="2" shapeId="0" xr:uid="{3A136AA5-4C54-4632-BA81-D1DD831E00A2}">
      <text>
        <t>[Comentário encadeado]
Sua versão do Excel permite que você leia este comentário encadeado, no entanto, as edições serão removidas se o arquivo for aberto em uma versão mais recente do Excel. Saiba mais: https://go.microsoft.com/fwlink/?linkid=870924
Comentário:
    Capacidades a serem desenvolvidas
O que é:
São as competências práticas, cognitivas e socioemocionais que o aluno deverá desenvolver durante a Situação de Aprendizagem. Essas capacidades estão diretamente relacionadas às habilidades profissionais previstas no curso e orientam o desenvolvimento do “aprender fazendo”.
Como preencher:
Esse campo deve conter somente as capacidades que serão efetivamente mobilizadas para realizar a atividade desafiadora proposta.
A escolha e a redação dessas capacidades devem seguir a progressão evolutiva do processo de ensino-aprendizagem, conforme a Taxonomia de Bloom, que organiza as ações cognitivas em níveis crescentes de complexidade (reconhecer → compreender → aplicar → analisar → avaliar → criar).
Assim, antes de aplicar conhecimentos, o aluno precisa reconhecer ferramentas, equipamentos, fórmulas e procedimentos, evoluindo gradualmente para atividades de maior autonomia e tomada de decisão.</t>
      </text>
    </comment>
    <comment ref="G12" authorId="3" shapeId="0" xr:uid="{40BBB096-34CE-4FDA-9D1D-9516046D055D}">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Conhecimentos
O que é:
São os saberes teóricos, conceituais e procedimentais que o aluno precisa mobilizar para desenvolver as capacidades desafiadas na Situação de Aprendizagem. Esses conhecimentos dão suporte à prática e garantem que o estudante compreenda o porquê e o como de cada ação executada, integrando teoria e prática de forma significativa.
Como preencher:
Devem ser listados apenas os conhecimentos diretamente relacionados às capacidades que serão desenvolvidas na atividade desafiadora proposta.
</t>
      </text>
    </comment>
    <comment ref="I12" authorId="4" shapeId="0" xr:uid="{D4ABD00B-C0FA-47EE-9A8E-9CA8D993A2D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Desafios
O que é:
São as situações-problema ou atividades desafiadoras que serão propostas para o aluno. Representam o “contexto de trabalho” que estimula o “aprender fazendo”.
Como preencher:
Descreva o desafio de forma prática e contextualizada.
Exemplo:
O aluno deverá identificar as causas prováveis da infiltração e propor uma solução técnica viável e segura, considerando:
as etapas executivas da construção;
os materiais aplicados;
as condições do ambiente;
e o custo-benefício das alternativas.
</t>
      </text>
    </comment>
    <comment ref="J12" authorId="5" shapeId="0" xr:uid="{E85E22F0-58F7-40EA-9DDB-1A54047BB08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Resultado Esperado
O que é:
É o produto final ou comportamento observável que demonstra que o aluno desenvolveu as capacidades.
Pode ser algo tangível (um relatório, protótipo, conserto, apresentação) ou intangível (comunicação eficaz, tomada de decisão, trabalho em equipe).
Como preencher:
Descreva o que o aluno deverá entregar, demonstrar ou apresentar ao final.
Use indicadores observáveis e coerentes com as capacidades e o desafio.
Exemplo:
Realizar pesquisa aplicada sobre tipos e causas de infiltração;
Fazer análise de um estudo de caso real ou simulado (imagens, relatórios, vídeos da obra);
Propor um plano de intervenção técnica, apresentando a solução escolhida e justificando tecnicamente;
Produzir relatório técnico e apresentar oralmente as conclusões para a turma.
</t>
      </text>
    </comment>
    <comment ref="K12" authorId="6" shapeId="0" xr:uid="{23EB87F0-C1AB-40C5-8E6D-6A548B28468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1. Exposição Dialogada
O que é:
Método em que o professor apresenta conceitos e informações, estimulando a participação ativa dos alunos por meio de perguntas, comentários e reflexões.
Como aplicar:
Utilizar para introduzir novos conhecimentos, contextualizar o desafio e construir entendimento coletivo.
Pode incluir uso de slides, vídeos curtos e discussões guiadas.
Objetivo:
Favorecer a compreensão conceitual e o pensamento crítico sobre o conteúdo apresentado.
2. Atividade Prática
O que é:
Execução de tarefas reais ou simuladas em laboratório, oficina ou ambiente controlado, em que o aluno aplica na prática o que aprendeu.
Como aplicar:
Propor atividades que exijam uso de ferramentas, instrumentos, softwares ou equipamentos, com foco no “aprender fazendo”.
Objetivo:
Desenvolver capacidades técnicas e procedimentais, promovendo a autonomia e a segurança na execução.
3. Trabalho em Grupo
O que é:
Estratégia que estimula a colaboração e o protagonismo entre os alunos, permitindo que construam soluções de forma coletiva.
Como aplicar:
Organizar grupos com papéis definidos (líder, relator, executor etc.), propondo desafios que demandem planejamento, debate e cooperação.
Objetivo:
Desenvolver competências socioemocionais, como comunicação, responsabilidade e empatia.
4. Dinâmica de Grupo
O que é:
Atividade interativa planejada para estimular o engajamento, a integração e a reflexão coletiva.
Como aplicar:
Usar no início da SA para integrar a turma ou durante o processo para refletir sobre atitudes e valores profissionais.
Objetivo:
Fortalecer o trabalho em equipe e a motivação para a aprendizagem.
5. Visita Técnica
O que é:
Vivência em ambiente profissional real, com observação e análise de processos, tecnologias e práticas de trabalho.
Como aplicar:
Planejar previamente os objetivos da visita e orientar os alunos a registrar observações técnicas.
Após a visita, promover uma discussão sobre o que foi aprendido.
Objetivo:
Relacionar teoria e prática, e desenvolver visão crítica sobre o mundo do trabalho.
6. Ensaio Tecnológico
O que é:
Atividade experimental em que os alunos realizam testes, medições e verificações técnicas para avaliar o desempenho de materiais, processos ou equipamentos.
Como aplicar:
Definir um protocolo de ensaio, orientar sobre instrumentos e normas técnicas, e analisar os resultados com a turma.
Objetivo:
Desenvolver raciocínio científico, precisão técnica e interpretação de dados.
7. Workshop
O que é:
Oficina prática e colaborativa voltada à experimentação de técnicas, tecnologias ou metodologias.
Como aplicar:
Organizar sessões curtas e objetivas, com atividades práticas e momentos de socialização dos resultados.
Objetivo:
Favorecer o intercâmbio de experiências e o aprimoramento técnico.
8. Seminário
O que é:
Apresentação oral de temas pelos alunos, seguida de discussão mediada pelo professor.
Como aplicar:
Propor pesquisas orientadas e apresentação dos resultados com base em critérios técnicos e científicos.
Objetivo:
Desenvolver comunicação técnica, autonomia intelectual e capacidade argumentativa.
9. Painel Temático
O que é:
Discussão estruturada de um tema relevante, com participação ativa dos alunos em papéis distintos (expositores, debatedores, mediadores).
Como aplicar:
Usar para aprofundar temas transversais ou analisar diferentes perspectivas sobre um mesmo problema.
Objetivo:
Estimular o pensamento crítico, a análise comparativa e o respeito à diversidade de ideias.
10. Gamificação
O que é:
Uso de elementos de jogos (pontos, missões, desafios, rankings) em contextos educacionais para estimular o engajamento e a motivação.
Como aplicar:
Criar missões ou desafios com recompensas simbólicas, competições saudáveis ou simulações gamificadas.
Objetivo:
Promover aprendizagem lúdica e motivação intrínseca para alcançar os resultados esperados.
11. Sala de Aula Invertida
O que é:
Metodologia em que o aluno estuda os conceitos teóricos antecipadamente (por meio de vídeos, textos, podcasts) e utiliza o tempo em sala para atividades práticas e discussões.
Como aplicar:
Disponibilizar conteúdos prévios, propor um desafio e, em sala, orientar a aplicação prática e resolução de problemas.
Objetivo:
Estimular a autonomia, autogestão da aprendizagem e o pensamento aplicado.
12. Design Thinking
O que é:
Metodologia centrada no ser humano, usada para resolver problemas complexos de forma criativa, colaborativa e empática.
Como aplicar:
Seguir as etapas: empatia → definição do problema → ideação → prototipagem → teste, aplicando-as a um desafio técnico real.
Objetivo:
Desenvolver pensamento criativo, solução de problemas e inovação tecnológica.
</t>
      </text>
    </comment>
    <comment ref="L12" authorId="7" shapeId="0" xr:uid="{3C5A0DCB-2D42-44FC-AED3-78F38023313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1. Avaliação
O que é:
Processo contínuo e sistemático que permite verificar o desenvolvimento das capacidades, conhecimentos e atitudes dos alunos.
Como aplicar:
Pode ser diagnóstica (antes da SA), formativa (durante o processo) ou somativa (ao final). Deve estar vinculada aos critérios de desempenho definidos na Situação de Aprendizagem.
Objetivo:
Acompanhar a evolução do aluno e reorientar o processo de ensino e aprendizagem.
2. Fichas de Observação
O que é:
Instrumento utilizado pelo professor para registrar comportamentos, atitudes e desempenhos observáveis durante atividades práticas ou em grupo.
Como aplicar:
Elaborar fichas com critérios objetivos (ex.: organização, uso de ferramentas, cooperação, cumprimento de normas de segurança). Preencher ao longo da execução das atividades.
Objetivo:
Avaliar desempenho prático, postura profissional e atitudes de forma contínua e qualitativa.
3. Relatórios
O que é:
Documento elaborado pelo aluno ou grupo com a descrição técnica e analítica das atividades realizadas, resultados obtidos e conclusões.
Como aplicar:
Solicitar relatórios após ensaios, visitas técnicas, projetos ou experimentos, orientando a estrutura (introdução, desenvolvimento, análise e conclusão).
Objetivo:
Desenvolver comunicação técnica escrita, interpretação de resultados e capacidade reflexiva.
4. Portfólios
O que é:
Coletânea de evidências (relatórios, registros fotográficos, anotações, produtos e reflexões) que mostram a evolução do aprendizado ao longo do tempo.
Como aplicar:
Organizar os materiais por etapas ou Situações de Aprendizagem, incentivando o aluno a registrar seu progresso e autocrítica.
Objetivo:
Valorizar o processo de aprendizagem e não apenas o resultado final.
5. Provas Objetivas
O que é:
Instrumento composto por questões de múltipla escolha, verdadeiro ou falso, associação ou lacunas, com respostas previamente determinadas.
Como aplicar:
Utilizar para verificar assimilação conceitual e terminológica, especialmente em conteúdos teóricos ou de base técnica.
Objetivo:
Mensurar conhecimento factual e conceitual de forma rápida e padronizada.
6. Provas de Respostas Construídas
O que é:
Instrumento em que o aluno deve redigir respostas, justificar raciocínios ou propor soluções com base em situações-problema.
Como aplicar:
Apresentar questões abertas que exijam interpretação, argumentação e aplicação de conceitos técnicos.
Objetivo:
Avaliar raciocínio lógico, pensamento crítico e capacidade de resolver problemas.
7. Provas Práticas
O que é:
Avaliações realizadas em ambiente prático (laboratório, oficina ou campo), onde o aluno executa procedimentos técnicos e demonstra suas competências.
Como aplicar:
Definir tarefas ou desafios reais, com critérios de avaliação claros (execução correta, tempo, qualidade, segurança, organização).
Objetivo:
Comprovar domínio técnico e procedimental do aluno em situações reais de trabalho.
8. Autoavaliações
O que é:
Instrumento em que o aluno reflete sobre o próprio desempenho, identificando avanços, dificuldades e metas pessoais de aprendizagem.
Como aplicar:
Aplicar ao final da SA ou de cada etapa, com perguntas orientadoras (ex.: “O que aprendi?”, “Em que posso melhorar?”, “Como me senti durante a atividade?”).
Objetivo:
Promover autonomia, autocrítica e responsabilidade pelo próprio aprendizado.
</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tc={09638316-356C-45CC-B794-9D200F5BECEE}</author>
    <author>tc={7D2C87A5-A884-46CE-9BDB-844A26113351}</author>
    <author>tc={31CE1845-34B8-41D0-B569-8E6DD9670F93}</author>
    <author>tc={EF760FC4-AFDB-468A-8DA3-D2CD24407A15}</author>
    <author>tc={CD60DEC9-A4DC-4B1B-8782-B6AEF86CD791}</author>
    <author>tc={859BF11A-1F3B-4838-B65E-33121DBFBCC6}</author>
    <author>tc={8B57AA92-BF90-43A7-87A0-BCF6FB0FAFBC}</author>
    <author>tc={EDCDBE9B-17FE-4447-9607-4CE7D381FE6E}</author>
  </authors>
  <commentList>
    <comment ref="B6" authorId="0" shapeId="0" xr:uid="{09638316-356C-45CC-B794-9D200F5BECEE}">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As Estratégias de Aprendizagem Desafiadoras da MSEP
Na Metodologia SENAI de Educação Profissional (MSEP), o desenvolvimento das capacidades do estudante é o centro do processo formativo.
Para isso, o docente precisa escolher estratégias de aprendizagem desafiadoras — situações reais e instigantes que promovem a autonomia, a resolução de problemas e a aplicação prática do conhecimento.
Cada estratégia possui características específicas e deve ser selecionada conforme o tipo de capacidade que se deseja desenvolver.
1. Situação-Problema
O que é:
É uma estratégia que apresenta aos estudantes um problema real ou simulado relacionado ao contexto profissional. O estudante deve analisar as causas, levantar hipóteses e propor soluções viáveis.
Características principais:
Baseia-se em uma situação desafiadora do mundo do trabalho;
Estimula o pensamento crítico, a investigação e a tomada de decisão;
Promove discussões em grupo e trabalho colaborativo;
Desenvolve a capacidade de resolver problemas complexos e inéditos.
Exemplo:
Uma empresa percebe que seus produtos estão apresentando falhas na pintura após o processo de secagem. A turma de Técnico em Eletromecânica deve investigar as possíveis causas (umidade, temperatura do forno, tipo de tinta, etc.) e propor ações corretivas e preventivas para eliminar o defeito.
2. Pesquisa Aplicada
O que é:
É uma estratégia que incentiva o estudante a buscar, analisar e aplicar informações para resolver um problema ou aprimorar um processo.
Valoriza a curiosidade, a autonomia e a investigação científica aplicada ao contexto técnico.
Características principais:
Desenvolve a autonomia intelectual e a capacidade investigativa;
Exige levantamento e análise de dados;
Estimula a busca por inovação e melhoria contínua;
Aproxima a teoria da prática com base em evidências concretas.
Exemplo:
A turma de Refrigeração e Climatização recebe o desafio de propor uma alternativa sustentável para reduzir o consumo de energia em sistemas de refrigeração comercial. Os estudantes realizam pesquisas sobre gases ecológicos e tecnologias de eficiência energética, e elaboram um relatório técnico com proposta viável.
3. Estudo de Caso
O que é:
É uma estratégia que apresenta uma situação real já ocorrida, geralmente documentada em relatórios, vídeos, imagens ou descrições técnicas.
Os estudantes devem analisar o caso, identificar os problemas e discutir as possíveis soluções, comparando diferentes pontos de vista.
Características principais:
Baseia-se em situações reais e documentadas;
Estimula a análise crítica, o julgamento técnico e a argumentação;
Permite discussão e debate de diferentes soluções possíveis;
Desenvolve a capacidade de aplicar conhecimentos teóricos em contextos práticos.
Exemplo:
Os alunos do curso de Segurança do Trabalho recebem um relatório de acidente ocorrido em uma indústria. Após analisar as causas e consequências, devem identificar as falhas nas medidas preventivas e propor ações corretivas baseadas nas normas regulamentadoras (NRs).
4. Projeto / Projeto Integrador
O que é:
É uma estratégia de aprendizagem que propõe o desenvolvimento de um produto, serviço ou processo, desde o planejamento até a execução e avaliação dos resultados.
No Projeto Integrador, diferentes Unidades Curriculares se articulam para desenvolver uma solução interdisciplinar.
Características principais:
Promove integração entre teoria e prática;
Incentiva o trabalho em equipe, o planejamento e a inovação;
Desenvolve autonomia, criatividade e gestão de processos;
Relaciona-se diretamente ao contexto da indústria e às demandas reais do setor produtivo.
Exemplo:
No curso de Edificações, os estudantes desenvolvem um projeto de acessibilidade para uma escola pública, considerando normas técnicas, orçamentos e sustentabilidade. O projeto é apresentado à comunidade escolar e pode ser adaptado para execução real.
</t>
      </text>
    </comment>
    <comment ref="B9" authorId="1" shapeId="0" xr:uid="{7D2C87A5-A884-46CE-9BDB-844A26113351}">
      <text>
        <t>[Comentário encadeado]
Sua versão do Excel permite que você leia este comentário encadeado, no entanto, as edições serão removidas se o arquivo for aberto em uma versão mais recente do Excel. Saiba mais: https://go.microsoft.com/fwlink/?linkid=870924
Comentário:
    A contextualização da SA consiste em relacionar os conteúdos e habilidades trabalhados com situações reais do mundo do trabalho, tornando o aprendizado mais significativo e aplicável. Ela permite que o estudante compreenda a utilidade prática do que está aprendendo e desenvolva competências profissionais de forma integrada.
O contexto não pode ser muito abrangente, de modo a levar a um distanciamento dos aspectos realmente importantes, nem tão limitado, a ponto de suprimir informações pertinentes ao desafio.</t>
      </text>
    </comment>
    <comment ref="D12" authorId="2" shapeId="0" xr:uid="{31CE1845-34B8-41D0-B569-8E6DD9670F93}">
      <text>
        <t>[Comentário encadeado]
Sua versão do Excel permite que você leia este comentário encadeado, no entanto, as edições serão removidas se o arquivo for aberto em uma versão mais recente do Excel. Saiba mais: https://go.microsoft.com/fwlink/?linkid=870924
Comentário:
    Capacidades a serem desenvolvidas
O que é:
São as competências práticas, cognitivas e socioemocionais que o aluno deverá desenvolver durante a Situação de Aprendizagem. Essas capacidades estão diretamente relacionadas às habilidades profissionais previstas no curso e orientam o desenvolvimento do “aprender fazendo”.
Como preencher:
Esse campo deve conter somente as capacidades que serão efetivamente mobilizadas para realizar a atividade desafiadora proposta.
A escolha e a redação dessas capacidades devem seguir a progressão evolutiva do processo de ensino-aprendizagem, conforme a Taxonomia de Bloom, que organiza as ações cognitivas em níveis crescentes de complexidade (reconhecer → compreender → aplicar → analisar → avaliar → criar).
Assim, antes de aplicar conhecimentos, o aluno precisa reconhecer ferramentas, equipamentos, fórmulas e procedimentos, evoluindo gradualmente para atividades de maior autonomia e tomada de decisão.</t>
      </text>
    </comment>
    <comment ref="G12" authorId="3" shapeId="0" xr:uid="{EF760FC4-AFDB-468A-8DA3-D2CD24407A1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Conhecimentos
O que é:
São os saberes teóricos, conceituais e procedimentais que o aluno precisa mobilizar para desenvolver as capacidades desafiadas na Situação de Aprendizagem. Esses conhecimentos dão suporte à prática e garantem que o estudante compreenda o porquê e o como de cada ação executada, integrando teoria e prática de forma significativa.
Como preencher:
Devem ser listados apenas os conhecimentos diretamente relacionados às capacidades que serão desenvolvidas na atividade desafiadora proposta.
</t>
      </text>
    </comment>
    <comment ref="I12" authorId="4" shapeId="0" xr:uid="{CD60DEC9-A4DC-4B1B-8782-B6AEF86CD79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Desafios
O que é:
São as situações-problema ou atividades desafiadoras que serão propostas para o aluno. Representam o “contexto de trabalho” que estimula o “aprender fazendo”.
Como preencher:
Descreva o desafio de forma prática e contextualizada.
Exemplo:
O aluno deverá identificar as causas prováveis da infiltração e propor uma solução técnica viável e segura, considerando:
as etapas executivas da construção;
os materiais aplicados;
as condições do ambiente;
e o custo-benefício das alternativas.
</t>
      </text>
    </comment>
    <comment ref="J12" authorId="5" shapeId="0" xr:uid="{859BF11A-1F3B-4838-B65E-33121DBFBCC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Resultado Esperado
O que é:
É o produto final ou comportamento observável que demonstra que o aluno desenvolveu as capacidades.
Pode ser algo tangível (um relatório, protótipo, conserto, apresentação) ou intangível (comunicação eficaz, tomada de decisão, trabalho em equipe).
Como preencher:
Descreva o que o aluno deverá entregar, demonstrar ou apresentar ao final.
Use indicadores observáveis e coerentes com as capacidades e o desafio.
Exemplo:
Realizar pesquisa aplicada sobre tipos e causas de infiltração;
Fazer análise de um estudo de caso real ou simulado (imagens, relatórios, vídeos da obra);
Propor um plano de intervenção técnica, apresentando a solução escolhida e justificando tecnicamente;
Produzir relatório técnico e apresentar oralmente as conclusões para a turma.
</t>
      </text>
    </comment>
    <comment ref="K12" authorId="6" shapeId="0" xr:uid="{8B57AA92-BF90-43A7-87A0-BCF6FB0FAFBC}">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1. Exposição Dialogada
O que é:
Método em que o professor apresenta conceitos e informações, estimulando a participação ativa dos alunos por meio de perguntas, comentários e reflexões.
Como aplicar:
Utilizar para introduzir novos conhecimentos, contextualizar o desafio e construir entendimento coletivo.
Pode incluir uso de slides, vídeos curtos e discussões guiadas.
Objetivo:
Favorecer a compreensão conceitual e o pensamento crítico sobre o conteúdo apresentado.
2. Atividade Prática
O que é:
Execução de tarefas reais ou simuladas em laboratório, oficina ou ambiente controlado, em que o aluno aplica na prática o que aprendeu.
Como aplicar:
Propor atividades que exijam uso de ferramentas, instrumentos, softwares ou equipamentos, com foco no “aprender fazendo”.
Objetivo:
Desenvolver capacidades técnicas e procedimentais, promovendo a autonomia e a segurança na execução.
3. Trabalho em Grupo
O que é:
Estratégia que estimula a colaboração e o protagonismo entre os alunos, permitindo que construam soluções de forma coletiva.
Como aplicar:
Organizar grupos com papéis definidos (líder, relator, executor etc.), propondo desafios que demandem planejamento, debate e cooperação.
Objetivo:
Desenvolver competências socioemocionais, como comunicação, responsabilidade e empatia.
4. Dinâmica de Grupo
O que é:
Atividade interativa planejada para estimular o engajamento, a integração e a reflexão coletiva.
Como aplicar:
Usar no início da SA para integrar a turma ou durante o processo para refletir sobre atitudes e valores profissionais.
Objetivo:
Fortalecer o trabalho em equipe e a motivação para a aprendizagem.
5. Visita Técnica
O que é:
Vivência em ambiente profissional real, com observação e análise de processos, tecnologias e práticas de trabalho.
Como aplicar:
Planejar previamente os objetivos da visita e orientar os alunos a registrar observações técnicas.
Após a visita, promover uma discussão sobre o que foi aprendido.
Objetivo:
Relacionar teoria e prática, e desenvolver visão crítica sobre o mundo do trabalho.
6. Ensaio Tecnológico
O que é:
Atividade experimental em que os alunos realizam testes, medições e verificações técnicas para avaliar o desempenho de materiais, processos ou equipamentos.
Como aplicar:
Definir um protocolo de ensaio, orientar sobre instrumentos e normas técnicas, e analisar os resultados com a turma.
Objetivo:
Desenvolver raciocínio científico, precisão técnica e interpretação de dados.
7. Workshop
O que é:
Oficina prática e colaborativa voltada à experimentação de técnicas, tecnologias ou metodologias.
Como aplicar:
Organizar sessões curtas e objetivas, com atividades práticas e momentos de socialização dos resultados.
Objetivo:
Favorecer o intercâmbio de experiências e o aprimoramento técnico.
8. Seminário
O que é:
Apresentação oral de temas pelos alunos, seguida de discussão mediada pelo professor.
Como aplicar:
Propor pesquisas orientadas e apresentação dos resultados com base em critérios técnicos e científicos.
Objetivo:
Desenvolver comunicação técnica, autonomia intelectual e capacidade argumentativa.
9. Painel Temático
O que é:
Discussão estruturada de um tema relevante, com participação ativa dos alunos em papéis distintos (expositores, debatedores, mediadores).
Como aplicar:
Usar para aprofundar temas transversais ou analisar diferentes perspectivas sobre um mesmo problema.
Objetivo:
Estimular o pensamento crítico, a análise comparativa e o respeito à diversidade de ideias.
10. Gamificação
O que é:
Uso de elementos de jogos (pontos, missões, desafios, rankings) em contextos educacionais para estimular o engajamento e a motivação.
Como aplicar:
Criar missões ou desafios com recompensas simbólicas, competições saudáveis ou simulações gamificadas.
Objetivo:
Promover aprendizagem lúdica e motivação intrínseca para alcançar os resultados esperados.
11. Sala de Aula Invertida
O que é:
Metodologia em que o aluno estuda os conceitos teóricos antecipadamente (por meio de vídeos, textos, podcasts) e utiliza o tempo em sala para atividades práticas e discussões.
Como aplicar:
Disponibilizar conteúdos prévios, propor um desafio e, em sala, orientar a aplicação prática e resolução de problemas.
Objetivo:
Estimular a autonomia, autogestão da aprendizagem e o pensamento aplicado.
12. Design Thinking
O que é:
Metodologia centrada no ser humano, usada para resolver problemas complexos de forma criativa, colaborativa e empática.
Como aplicar:
Seguir as etapas: empatia → definição do problema → ideação → prototipagem → teste, aplicando-as a um desafio técnico real.
Objetivo:
Desenvolver pensamento criativo, solução de problemas e inovação tecnológica.
</t>
      </text>
    </comment>
    <comment ref="L12" authorId="7" shapeId="0" xr:uid="{EDCDBE9B-17FE-4447-9607-4CE7D381FE6E}">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1. Avaliação
O que é:
Processo contínuo e sistemático que permite verificar o desenvolvimento das capacidades, conhecimentos e atitudes dos alunos.
Como aplicar:
Pode ser diagnóstica (antes da SA), formativa (durante o processo) ou somativa (ao final). Deve estar vinculada aos critérios de desempenho definidos na Situação de Aprendizagem.
Objetivo:
Acompanhar a evolução do aluno e reorientar o processo de ensino e aprendizagem.
2. Fichas de Observação
O que é:
Instrumento utilizado pelo professor para registrar comportamentos, atitudes e desempenhos observáveis durante atividades práticas ou em grupo.
Como aplicar:
Elaborar fichas com critérios objetivos (ex.: organização, uso de ferramentas, cooperação, cumprimento de normas de segurança). Preencher ao longo da execução das atividades.
Objetivo:
Avaliar desempenho prático, postura profissional e atitudes de forma contínua e qualitativa.
3. Relatórios
O que é:
Documento elaborado pelo aluno ou grupo com a descrição técnica e analítica das atividades realizadas, resultados obtidos e conclusões.
Como aplicar:
Solicitar relatórios após ensaios, visitas técnicas, projetos ou experimentos, orientando a estrutura (introdução, desenvolvimento, análise e conclusão).
Objetivo:
Desenvolver comunicação técnica escrita, interpretação de resultados e capacidade reflexiva.
4. Portfólios
O que é:
Coletânea de evidências (relatórios, registros fotográficos, anotações, produtos e reflexões) que mostram a evolução do aprendizado ao longo do tempo.
Como aplicar:
Organizar os materiais por etapas ou Situações de Aprendizagem, incentivando o aluno a registrar seu progresso e autocrítica.
Objetivo:
Valorizar o processo de aprendizagem e não apenas o resultado final.
5. Provas Objetivas
O que é:
Instrumento composto por questões de múltipla escolha, verdadeiro ou falso, associação ou lacunas, com respostas previamente determinadas.
Como aplicar:
Utilizar para verificar assimilação conceitual e terminológica, especialmente em conteúdos teóricos ou de base técnica.
Objetivo:
Mensurar conhecimento factual e conceitual de forma rápida e padronizada.
6. Provas de Respostas Construídas
O que é:
Instrumento em que o aluno deve redigir respostas, justificar raciocínios ou propor soluções com base em situações-problema.
Como aplicar:
Apresentar questões abertas que exijam interpretação, argumentação e aplicação de conceitos técnicos.
Objetivo:
Avaliar raciocínio lógico, pensamento crítico e capacidade de resolver problemas.
7. Provas Práticas
O que é:
Avaliações realizadas em ambiente prático (laboratório, oficina ou campo), onde o aluno executa procedimentos técnicos e demonstra suas competências.
Como aplicar:
Definir tarefas ou desafios reais, com critérios de avaliação claros (execução correta, tempo, qualidade, segurança, organização).
Objetivo:
Comprovar domínio técnico e procedimental do aluno em situações reais de trabalho.
8. Autoavaliações
O que é:
Instrumento em que o aluno reflete sobre o próprio desempenho, identificando avanços, dificuldades e metas pessoais de aprendizagem.
Como aplicar:
Aplicar ao final da SA ou de cada etapa, com perguntas orientadoras (ex.: “O que aprendi?”, “Em que posso melhorar?”, “Como me senti durante a atividade?”).
Objetivo:
Promover autonomia, autocrítica e responsabilidade pelo próprio aprendizado.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tc={224FE3D8-347A-4EE5-A69E-7F3EAB56F599}</author>
    <author>tc={CD28115D-7566-4B93-BF78-A7925D867E0E}</author>
    <author>tc={1995FA2B-FB51-4E17-8E65-C80C55D55B03}</author>
    <author>tc={BB6E444F-EABA-4074-B3D3-C3A68BED5D6D}</author>
    <author>tc={7653F09D-F2E9-4194-8AFE-9330EA7F5077}</author>
    <author>tc={94C8FF2A-0867-4C33-A8C2-94C8697B7E5B}</author>
    <author>tc={1DE88A2C-6523-4C75-9ED4-7586B326C408}</author>
    <author>tc={575D95E2-1F4E-48D9-B172-97EE8A21BEF6}</author>
  </authors>
  <commentList>
    <comment ref="B6" authorId="0" shapeId="0" xr:uid="{224FE3D8-347A-4EE5-A69E-7F3EAB56F599}">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As Estratégias de Aprendizagem Desafiadoras da MSEP
Na Metodologia SENAI de Educação Profissional (MSEP), o desenvolvimento das capacidades do estudante é o centro do processo formativo.
Para isso, o docente precisa escolher estratégias de aprendizagem desafiadoras — situações reais e instigantes que promovem a autonomia, a resolução de problemas e a aplicação prática do conhecimento.
Cada estratégia possui características específicas e deve ser selecionada conforme o tipo de capacidade que se deseja desenvolver.
1. Situação-Problema
O que é:
É uma estratégia que apresenta aos estudantes um problema real ou simulado relacionado ao contexto profissional. O estudante deve analisar as causas, levantar hipóteses e propor soluções viáveis.
Características principais:
Baseia-se em uma situação desafiadora do mundo do trabalho;
Estimula o pensamento crítico, a investigação e a tomada de decisão;
Promove discussões em grupo e trabalho colaborativo;
Desenvolve a capacidade de resolver problemas complexos e inéditos.
Exemplo:
Uma empresa percebe que seus produtos estão apresentando falhas na pintura após o processo de secagem. A turma de Técnico em Eletromecânica deve investigar as possíveis causas (umidade, temperatura do forno, tipo de tinta, etc.) e propor ações corretivas e preventivas para eliminar o defeito.
2. Pesquisa Aplicada
O que é:
É uma estratégia que incentiva o estudante a buscar, analisar e aplicar informações para resolver um problema ou aprimorar um processo.
Valoriza a curiosidade, a autonomia e a investigação científica aplicada ao contexto técnico.
Características principais:
Desenvolve a autonomia intelectual e a capacidade investigativa;
Exige levantamento e análise de dados;
Estimula a busca por inovação e melhoria contínua;
Aproxima a teoria da prática com base em evidências concretas.
Exemplo:
A turma de Refrigeração e Climatização recebe o desafio de propor uma alternativa sustentável para reduzir o consumo de energia em sistemas de refrigeração comercial. Os estudantes realizam pesquisas sobre gases ecológicos e tecnologias de eficiência energética, e elaboram um relatório técnico com proposta viável.
3. Estudo de Caso
O que é:
É uma estratégia que apresenta uma situação real já ocorrida, geralmente documentada em relatórios, vídeos, imagens ou descrições técnicas.
Os estudantes devem analisar o caso, identificar os problemas e discutir as possíveis soluções, comparando diferentes pontos de vista.
Características principais:
Baseia-se em situações reais e documentadas;
Estimula a análise crítica, o julgamento técnico e a argumentação;
Permite discussão e debate de diferentes soluções possíveis;
Desenvolve a capacidade de aplicar conhecimentos teóricos em contextos práticos.
Exemplo:
Os alunos do curso de Segurança do Trabalho recebem um relatório de acidente ocorrido em uma indústria. Após analisar as causas e consequências, devem identificar as falhas nas medidas preventivas e propor ações corretivas baseadas nas normas regulamentadoras (NRs).
4. Projeto / Projeto Integrador
O que é:
É uma estratégia de aprendizagem que propõe o desenvolvimento de um produto, serviço ou processo, desde o planejamento até a execução e avaliação dos resultados.
No Projeto Integrador, diferentes Unidades Curriculares se articulam para desenvolver uma solução interdisciplinar.
Características principais:
Promove integração entre teoria e prática;
Incentiva o trabalho em equipe, o planejamento e a inovação;
Desenvolve autonomia, criatividade e gestão de processos;
Relaciona-se diretamente ao contexto da indústria e às demandas reais do setor produtivo.
Exemplo:
No curso de Edificações, os estudantes desenvolvem um projeto de acessibilidade para uma escola pública, considerando normas técnicas, orçamentos e sustentabilidade. O projeto é apresentado à comunidade escolar e pode ser adaptado para execução real.
</t>
      </text>
    </comment>
    <comment ref="B9" authorId="1" shapeId="0" xr:uid="{CD28115D-7566-4B93-BF78-A7925D867E0E}">
      <text>
        <t>[Comentário encadeado]
Sua versão do Excel permite que você leia este comentário encadeado, no entanto, as edições serão removidas se o arquivo for aberto em uma versão mais recente do Excel. Saiba mais: https://go.microsoft.com/fwlink/?linkid=870924
Comentário:
    A contextualização da SA consiste em relacionar os conteúdos e habilidades trabalhados com situações reais do mundo do trabalho, tornando o aprendizado mais significativo e aplicável. Ela permite que o estudante compreenda a utilidade prática do que está aprendendo e desenvolva competências profissionais de forma integrada.
O contexto não pode ser muito abrangente, de modo a levar a um distanciamento dos aspectos realmente importantes, nem tão limitado, a ponto de suprimir informações pertinentes ao desafio.</t>
      </text>
    </comment>
    <comment ref="D12" authorId="2" shapeId="0" xr:uid="{1995FA2B-FB51-4E17-8E65-C80C55D55B03}">
      <text>
        <t>[Comentário encadeado]
Sua versão do Excel permite que você leia este comentário encadeado, no entanto, as edições serão removidas se o arquivo for aberto em uma versão mais recente do Excel. Saiba mais: https://go.microsoft.com/fwlink/?linkid=870924
Comentário:
    Capacidades a serem desenvolvidas
O que é:
São as competências práticas, cognitivas e socioemocionais que o aluno deverá desenvolver durante a Situação de Aprendizagem. Essas capacidades estão diretamente relacionadas às habilidades profissionais previstas no curso e orientam o desenvolvimento do “aprender fazendo”.
Como preencher:
Esse campo deve conter somente as capacidades que serão efetivamente mobilizadas para realizar a atividade desafiadora proposta.
A escolha e a redação dessas capacidades devem seguir a progressão evolutiva do processo de ensino-aprendizagem, conforme a Taxonomia de Bloom, que organiza as ações cognitivas em níveis crescentes de complexidade (reconhecer → compreender → aplicar → analisar → avaliar → criar).
Assim, antes de aplicar conhecimentos, o aluno precisa reconhecer ferramentas, equipamentos, fórmulas e procedimentos, evoluindo gradualmente para atividades de maior autonomia e tomada de decisão.</t>
      </text>
    </comment>
    <comment ref="G12" authorId="3" shapeId="0" xr:uid="{BB6E444F-EABA-4074-B3D3-C3A68BED5D6D}">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Conhecimentos
O que é:
São os saberes teóricos, conceituais e procedimentais que o aluno precisa mobilizar para desenvolver as capacidades desafiadas na Situação de Aprendizagem. Esses conhecimentos dão suporte à prática e garantem que o estudante compreenda o porquê e o como de cada ação executada, integrando teoria e prática de forma significativa.
Como preencher:
Devem ser listados apenas os conhecimentos diretamente relacionados às capacidades que serão desenvolvidas na atividade desafiadora proposta.
</t>
      </text>
    </comment>
    <comment ref="I12" authorId="4" shapeId="0" xr:uid="{7653F09D-F2E9-4194-8AFE-9330EA7F5077}">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Desafios
O que é:
São as situações-problema ou atividades desafiadoras que serão propostas para o aluno. Representam o “contexto de trabalho” que estimula o “aprender fazendo”.
Como preencher:
Descreva o desafio de forma prática e contextualizada.
Exemplo:
O aluno deverá identificar as causas prováveis da infiltração e propor uma solução técnica viável e segura, considerando:
as etapas executivas da construção;
os materiais aplicados;
as condições do ambiente;
e o custo-benefício das alternativas.
</t>
      </text>
    </comment>
    <comment ref="J12" authorId="5" shapeId="0" xr:uid="{94C8FF2A-0867-4C33-A8C2-94C8697B7E5B}">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Resultado Esperado
O que é:
É o produto final ou comportamento observável que demonstra que o aluno desenvolveu as capacidades.
Pode ser algo tangível (um relatório, protótipo, conserto, apresentação) ou intangível (comunicação eficaz, tomada de decisão, trabalho em equipe).
Como preencher:
Descreva o que o aluno deverá entregar, demonstrar ou apresentar ao final.
Use indicadores observáveis e coerentes com as capacidades e o desafio.
Exemplo:
Realizar pesquisa aplicada sobre tipos e causas de infiltração;
Fazer análise de um estudo de caso real ou simulado (imagens, relatórios, vídeos da obra);
Propor um plano de intervenção técnica, apresentando a solução escolhida e justificando tecnicamente;
Produzir relatório técnico e apresentar oralmente as conclusões para a turma.
</t>
      </text>
    </comment>
    <comment ref="K12" authorId="6" shapeId="0" xr:uid="{1DE88A2C-6523-4C75-9ED4-7586B326C40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1. Exposição Dialogada
O que é:
Método em que o professor apresenta conceitos e informações, estimulando a participação ativa dos alunos por meio de perguntas, comentários e reflexões.
Como aplicar:
Utilizar para introduzir novos conhecimentos, contextualizar o desafio e construir entendimento coletivo.
Pode incluir uso de slides, vídeos curtos e discussões guiadas.
Objetivo:
Favorecer a compreensão conceitual e o pensamento crítico sobre o conteúdo apresentado.
2. Atividade Prática
O que é:
Execução de tarefas reais ou simuladas em laboratório, oficina ou ambiente controlado, em que o aluno aplica na prática o que aprendeu.
Como aplicar:
Propor atividades que exijam uso de ferramentas, instrumentos, softwares ou equipamentos, com foco no “aprender fazendo”.
Objetivo:
Desenvolver capacidades técnicas e procedimentais, promovendo a autonomia e a segurança na execução.
3. Trabalho em Grupo
O que é:
Estratégia que estimula a colaboração e o protagonismo entre os alunos, permitindo que construam soluções de forma coletiva.
Como aplicar:
Organizar grupos com papéis definidos (líder, relator, executor etc.), propondo desafios que demandem planejamento, debate e cooperação.
Objetivo:
Desenvolver competências socioemocionais, como comunicação, responsabilidade e empatia.
4. Dinâmica de Grupo
O que é:
Atividade interativa planejada para estimular o engajamento, a integração e a reflexão coletiva.
Como aplicar:
Usar no início da SA para integrar a turma ou durante o processo para refletir sobre atitudes e valores profissionais.
Objetivo:
Fortalecer o trabalho em equipe e a motivação para a aprendizagem.
5. Visita Técnica
O que é:
Vivência em ambiente profissional real, com observação e análise de processos, tecnologias e práticas de trabalho.
Como aplicar:
Planejar previamente os objetivos da visita e orientar os alunos a registrar observações técnicas.
Após a visita, promover uma discussão sobre o que foi aprendido.
Objetivo:
Relacionar teoria e prática, e desenvolver visão crítica sobre o mundo do trabalho.
6. Ensaio Tecnológico
O que é:
Atividade experimental em que os alunos realizam testes, medições e verificações técnicas para avaliar o desempenho de materiais, processos ou equipamentos.
Como aplicar:
Definir um protocolo de ensaio, orientar sobre instrumentos e normas técnicas, e analisar os resultados com a turma.
Objetivo:
Desenvolver raciocínio científico, precisão técnica e interpretação de dados.
7. Workshop
O que é:
Oficina prática e colaborativa voltada à experimentação de técnicas, tecnologias ou metodologias.
Como aplicar:
Organizar sessões curtas e objetivas, com atividades práticas e momentos de socialização dos resultados.
Objetivo:
Favorecer o intercâmbio de experiências e o aprimoramento técnico.
8. Seminário
O que é:
Apresentação oral de temas pelos alunos, seguida de discussão mediada pelo professor.
Como aplicar:
Propor pesquisas orientadas e apresentação dos resultados com base em critérios técnicos e científicos.
Objetivo:
Desenvolver comunicação técnica, autonomia intelectual e capacidade argumentativa.
9. Painel Temático
O que é:
Discussão estruturada de um tema relevante, com participação ativa dos alunos em papéis distintos (expositores, debatedores, mediadores).
Como aplicar:
Usar para aprofundar temas transversais ou analisar diferentes perspectivas sobre um mesmo problema.
Objetivo:
Estimular o pensamento crítico, a análise comparativa e o respeito à diversidade de ideias.
10. Gamificação
O que é:
Uso de elementos de jogos (pontos, missões, desafios, rankings) em contextos educacionais para estimular o engajamento e a motivação.
Como aplicar:
Criar missões ou desafios com recompensas simbólicas, competições saudáveis ou simulações gamificadas.
Objetivo:
Promover aprendizagem lúdica e motivação intrínseca para alcançar os resultados esperados.
11. Sala de Aula Invertida
O que é:
Metodologia em que o aluno estuda os conceitos teóricos antecipadamente (por meio de vídeos, textos, podcasts) e utiliza o tempo em sala para atividades práticas e discussões.
Como aplicar:
Disponibilizar conteúdos prévios, propor um desafio e, em sala, orientar a aplicação prática e resolução de problemas.
Objetivo:
Estimular a autonomia, autogestão da aprendizagem e o pensamento aplicado.
12. Design Thinking
O que é:
Metodologia centrada no ser humano, usada para resolver problemas complexos de forma criativa, colaborativa e empática.
Como aplicar:
Seguir as etapas: empatia → definição do problema → ideação → prototipagem → teste, aplicando-as a um desafio técnico real.
Objetivo:
Desenvolver pensamento criativo, solução de problemas e inovação tecnológica.
</t>
      </text>
    </comment>
    <comment ref="L12" authorId="7" shapeId="0" xr:uid="{575D95E2-1F4E-48D9-B172-97EE8A21BE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1. Avaliação
O que é:
Processo contínuo e sistemático que permite verificar o desenvolvimento das capacidades, conhecimentos e atitudes dos alunos.
Como aplicar:
Pode ser diagnóstica (antes da SA), formativa (durante o processo) ou somativa (ao final). Deve estar vinculada aos critérios de desempenho definidos na Situação de Aprendizagem.
Objetivo:
Acompanhar a evolução do aluno e reorientar o processo de ensino e aprendizagem.
2. Fichas de Observação
O que é:
Instrumento utilizado pelo professor para registrar comportamentos, atitudes e desempenhos observáveis durante atividades práticas ou em grupo.
Como aplicar:
Elaborar fichas com critérios objetivos (ex.: organização, uso de ferramentas, cooperação, cumprimento de normas de segurança). Preencher ao longo da execução das atividades.
Objetivo:
Avaliar desempenho prático, postura profissional e atitudes de forma contínua e qualitativa.
3. Relatórios
O que é:
Documento elaborado pelo aluno ou grupo com a descrição técnica e analítica das atividades realizadas, resultados obtidos e conclusões.
Como aplicar:
Solicitar relatórios após ensaios, visitas técnicas, projetos ou experimentos, orientando a estrutura (introdução, desenvolvimento, análise e conclusão).
Objetivo:
Desenvolver comunicação técnica escrita, interpretação de resultados e capacidade reflexiva.
4. Portfólios
O que é:
Coletânea de evidências (relatórios, registros fotográficos, anotações, produtos e reflexões) que mostram a evolução do aprendizado ao longo do tempo.
Como aplicar:
Organizar os materiais por etapas ou Situações de Aprendizagem, incentivando o aluno a registrar seu progresso e autocrítica.
Objetivo:
Valorizar o processo de aprendizagem e não apenas o resultado final.
5. Provas Objetivas
O que é:
Instrumento composto por questões de múltipla escolha, verdadeiro ou falso, associação ou lacunas, com respostas previamente determinadas.
Como aplicar:
Utilizar para verificar assimilação conceitual e terminológica, especialmente em conteúdos teóricos ou de base técnica.
Objetivo:
Mensurar conhecimento factual e conceitual de forma rápida e padronizada.
6. Provas de Respostas Construídas
O que é:
Instrumento em que o aluno deve redigir respostas, justificar raciocínios ou propor soluções com base em situações-problema.
Como aplicar:
Apresentar questões abertas que exijam interpretação, argumentação e aplicação de conceitos técnicos.
Objetivo:
Avaliar raciocínio lógico, pensamento crítico e capacidade de resolver problemas.
7. Provas Práticas
O que é:
Avaliações realizadas em ambiente prático (laboratório, oficina ou campo), onde o aluno executa procedimentos técnicos e demonstra suas competências.
Como aplicar:
Definir tarefas ou desafios reais, com critérios de avaliação claros (execução correta, tempo, qualidade, segurança, organização).
Objetivo:
Comprovar domínio técnico e procedimental do aluno em situações reais de trabalho.
8. Autoavaliações
O que é:
Instrumento em que o aluno reflete sobre o próprio desempenho, identificando avanços, dificuldades e metas pessoais de aprendizagem.
Como aplicar:
Aplicar ao final da SA ou de cada etapa, com perguntas orientadoras (ex.: “O que aprendi?”, “Em que posso melhorar?”, “Como me senti durante a atividade?”).
Objetivo:
Promover autonomia, autocrítica e responsabilidade pelo próprio aprendizado.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tc={0F6141C7-CE37-409F-8DA4-6B6C34DDBC19}</author>
    <author>tc={60666780-B432-4E27-8210-70182B80669F}</author>
  </authors>
  <commentList>
    <comment ref="D3" authorId="0" shapeId="0" xr:uid="{0F6141C7-CE37-409F-8DA4-6B6C34DDBC19}">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t>
      </text>
    </comment>
    <comment ref="M3" authorId="1" shapeId="0" xr:uid="{60666780-B432-4E27-8210-70182B80669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Distribuir em % o valor da avaliação de cada capacidade alcançada até a soma delas chegar em 100%.
</t>
      </text>
    </comment>
  </commentList>
</comments>
</file>

<file path=xl/sharedStrings.xml><?xml version="1.0" encoding="utf-8"?>
<sst xmlns="http://schemas.openxmlformats.org/spreadsheetml/2006/main" count="810" uniqueCount="200">
  <si>
    <t>Estratégia de Ensino</t>
  </si>
  <si>
    <t>Instrumentos de Avaliação da Aprendizagem</t>
  </si>
  <si>
    <t>Modalidades</t>
  </si>
  <si>
    <t>Módulos</t>
  </si>
  <si>
    <t>SA01</t>
  </si>
  <si>
    <t>Exposição Dialogada</t>
  </si>
  <si>
    <t>Avaliação</t>
  </si>
  <si>
    <t>Iniciação Profissional</t>
  </si>
  <si>
    <t>Módulo Único</t>
  </si>
  <si>
    <t>SA02</t>
  </si>
  <si>
    <t>Atividade Prática</t>
  </si>
  <si>
    <t>Fichas de Observação</t>
  </si>
  <si>
    <t>Aperfeiçoamento Profissional</t>
  </si>
  <si>
    <t>Básico</t>
  </si>
  <si>
    <t>SA03</t>
  </si>
  <si>
    <t>Trabalho em Grupo</t>
  </si>
  <si>
    <t>Relatórios</t>
  </si>
  <si>
    <t>Qualificação Profissional</t>
  </si>
  <si>
    <t>Introdutório</t>
  </si>
  <si>
    <t>SA04</t>
  </si>
  <si>
    <t>Dinâmica de Grupo</t>
  </si>
  <si>
    <t>Portfólios</t>
  </si>
  <si>
    <t>Aprendizagem Básica</t>
  </si>
  <si>
    <t>Específico I</t>
  </si>
  <si>
    <t>SA05</t>
  </si>
  <si>
    <t>Visita Técnica</t>
  </si>
  <si>
    <t>Provas Objetivas</t>
  </si>
  <si>
    <t>Aprendizagem Técnica</t>
  </si>
  <si>
    <t>Específico II</t>
  </si>
  <si>
    <t>SA06</t>
  </si>
  <si>
    <t>Ensaio Tecnológico</t>
  </si>
  <si>
    <t>Provas de Respostas Construídas</t>
  </si>
  <si>
    <t>Aprendizagem 4.0</t>
  </si>
  <si>
    <t>Específico III</t>
  </si>
  <si>
    <t>SA07</t>
  </si>
  <si>
    <t>Workshop</t>
  </si>
  <si>
    <t>Provas Práticas</t>
  </si>
  <si>
    <t>Técnico Nível Médio</t>
  </si>
  <si>
    <t>Específico IV</t>
  </si>
  <si>
    <t>SA08</t>
  </si>
  <si>
    <t>Seminário</t>
  </si>
  <si>
    <t>Autoavaliações</t>
  </si>
  <si>
    <t>Técnico Intinerário V</t>
  </si>
  <si>
    <t>Específico V</t>
  </si>
  <si>
    <t>SA09</t>
  </si>
  <si>
    <t>Painel Temático</t>
  </si>
  <si>
    <t>Específico VI</t>
  </si>
  <si>
    <t>SA10</t>
  </si>
  <si>
    <t>Gameficação</t>
  </si>
  <si>
    <t>SA11</t>
  </si>
  <si>
    <t>Sala de Aula Invertida</t>
  </si>
  <si>
    <t>SA12</t>
  </si>
  <si>
    <t>Design Thinking</t>
  </si>
  <si>
    <t>SA13</t>
  </si>
  <si>
    <t>SA14</t>
  </si>
  <si>
    <t>SA15</t>
  </si>
  <si>
    <t>SA16</t>
  </si>
  <si>
    <t>SA17</t>
  </si>
  <si>
    <t>SA18</t>
  </si>
  <si>
    <t>SA19</t>
  </si>
  <si>
    <t>SA20</t>
  </si>
  <si>
    <t xml:space="preserve">Plano de Ensino </t>
  </si>
  <si>
    <t>Curso :</t>
  </si>
  <si>
    <t>Carga Horária do Curso:</t>
  </si>
  <si>
    <t xml:space="preserve">Modalidade: </t>
  </si>
  <si>
    <t>Unidade Curricular:</t>
  </si>
  <si>
    <t xml:space="preserve">Carga Horária da UC: </t>
  </si>
  <si>
    <t>Módulo:</t>
  </si>
  <si>
    <t>Data Início da UC:</t>
  </si>
  <si>
    <t>Data Término da UC:</t>
  </si>
  <si>
    <t>Turma:</t>
  </si>
  <si>
    <t>Objetivo da UC:</t>
  </si>
  <si>
    <t>Ambiente Pedagógico</t>
  </si>
  <si>
    <t>No. Situações de Aprendizagem:</t>
  </si>
  <si>
    <t>Número de Aulas:</t>
  </si>
  <si>
    <t>Nº Total de Capacidades
Básicas / Técnicas</t>
  </si>
  <si>
    <t>Nº Total de Capacidades
Socioemocionais</t>
  </si>
  <si>
    <t>Conteúdo Formativo</t>
  </si>
  <si>
    <t>Capacidades Básicas / Técnicas</t>
  </si>
  <si>
    <t>Conhecimentos</t>
  </si>
  <si>
    <t>Capacidades Socioemocionais</t>
  </si>
  <si>
    <t>Interpretar normas e procedimentos de compliance da empresa;
Realizar ações para evitar ou mitigar riscos à segurança dos sistemas e dados da empresa e da equipe de trabalho com base em rotinas de trabalho;
Seguir as boas práticas de saúde e segurança no trabalho relativas aos serviços de operação de computadores;
Empregar ferramentas para edição de textos e planilhas para realizar rotinas administrativas básicas;
Empregar ferramentas de comunicação e armazenamento de dados em sincronismo com a internet ;
Empregar ferramentas colaborativas para edição de textos e planilhas e aplicações para internet;
Empregar ferramentas para edição de apresentações e para organização de tarefas;
Identificar características e especificidades de softwares livres, proprietários e com licenciamento;
Adotar comportamentos profissionais aderentes às premissas da autogestão das suas atividades, considerando critérios de organização, disciplina, responsabilidade, concentração e gestão do tempo</t>
  </si>
  <si>
    <t>1. Editor de textos
1.1. Quebras de seção
1.2. Numeração de páginas
1.3. Notas de referência
1.4. Estilos
1.5. Índices
1.6. Mala direta
2. Editor de planilhas
2.1. Funções básicas e suas finalidades
2.2. Linhas, colunas e endereços de células
2.3. Formatação de células
2.4. Configuração de páginas
2.5. Classificação e filtro de dados
2.6. Gráficos, quadros e tabelas
2.7. Inserção de fórmulas básicas
2.8. Inserção de funções lógicas
2.9. Tabela dinâmica
2.10. Impressão
3. Editor de apresentações
3.1. Funções básicas e suas finalidades
3.2. Tipos
3.3. Formatação
3.4. Configuração de páginas
3.5. Importação de figuras e objetos
3.6. Inserção de tabelas e gráficos
3.7. Arquivamentos
3.8. Recursos multimídia de apoio a apresentações e vídeos
3.9. Controles de exibição
3.10. Impressão
4. Organizador de atividades
4.1. Funções básicas e suas finalidades
4.2. Tipos
4.3. Cronograma
4.4. Colaboração
5. Boas práticas de segurança da informação
5.1. Técnicas armazenamento seguro de arquivos
5.2. Controle de versão de arquivos
6. Boas práticas de ergonomia
6.1. Jornada de trabalho
7. Critérios e Premissas da Autogestão
7.1. Organização
7.2. Disciplina
7.3. Responsabilidade
7.4. Concentração
7.5. Gestão do tempo</t>
  </si>
  <si>
    <t>Situação de Aprendizagem</t>
  </si>
  <si>
    <t>ESTRATÉGIA de APRENDIZAGEM DESAFIADORA:</t>
  </si>
  <si>
    <t>( X ) Situação Problema  (   ) Estudo de Caso    (  ) Pesquisa Aplicada   (   ) Projeto  (   ) Projeto Integrador</t>
  </si>
  <si>
    <t>Carga Horária S.A.</t>
  </si>
  <si>
    <t>Contextualização</t>
  </si>
  <si>
    <t>Nº de Capacidades Básica / Técnica</t>
  </si>
  <si>
    <t>Nº de Capacidades Socioemocionais</t>
  </si>
  <si>
    <t>PLANO DE AULA</t>
  </si>
  <si>
    <t>Data</t>
  </si>
  <si>
    <t>CH</t>
  </si>
  <si>
    <t>Capacidades a serem desenvolvidas</t>
  </si>
  <si>
    <t>Desafios</t>
  </si>
  <si>
    <t>Resultado Esperado</t>
  </si>
  <si>
    <t>Estratégias de Ensino e Descrição da Atividade</t>
  </si>
  <si>
    <t>Critérios de Avaliação</t>
  </si>
  <si>
    <t>Nº</t>
  </si>
  <si>
    <t>Padrão de Desempenho</t>
  </si>
  <si>
    <t>ALUNO 1</t>
  </si>
  <si>
    <t>ALUNO 2</t>
  </si>
  <si>
    <t>ALUNO 3</t>
  </si>
  <si>
    <t>ALUNO 4</t>
  </si>
  <si>
    <t>ALUNO 5</t>
  </si>
  <si>
    <t>ALUNO 6</t>
  </si>
  <si>
    <t>ALUNO 7</t>
  </si>
  <si>
    <t>ALUNO 8</t>
  </si>
  <si>
    <t>ALUNO 9</t>
  </si>
  <si>
    <t>ALUNO 10</t>
  </si>
  <si>
    <t>ALUNO 11</t>
  </si>
  <si>
    <t>ALUNO 12</t>
  </si>
  <si>
    <t>ALUNO 13</t>
  </si>
  <si>
    <t>ALUNO 14</t>
  </si>
  <si>
    <t>ALUNO 15</t>
  </si>
  <si>
    <t>ALUNO 16</t>
  </si>
  <si>
    <t>ALUNO 17</t>
  </si>
  <si>
    <t>ALUNO 18</t>
  </si>
  <si>
    <t>ALUNO 19</t>
  </si>
  <si>
    <t>ALUNO 20</t>
  </si>
  <si>
    <t>ALUNO 21</t>
  </si>
  <si>
    <t>ALUNO 22</t>
  </si>
  <si>
    <t>ALUNO 23</t>
  </si>
  <si>
    <t>ALUNO 24</t>
  </si>
  <si>
    <t>ALUNO 25</t>
  </si>
  <si>
    <t>ALUNO 26</t>
  </si>
  <si>
    <t>ALUNO 27</t>
  </si>
  <si>
    <t>ALUNO 28</t>
  </si>
  <si>
    <t>ALUNO 29</t>
  </si>
  <si>
    <t>ALUNO 30</t>
  </si>
  <si>
    <t>ALUNO 31</t>
  </si>
  <si>
    <t>ALUNO 32</t>
  </si>
  <si>
    <t>ALUNO 33</t>
  </si>
  <si>
    <t>ALUNO 34</t>
  </si>
  <si>
    <t>ALUNO 35</t>
  </si>
  <si>
    <t>ALUNO 36</t>
  </si>
  <si>
    <t>ALUNO 37</t>
  </si>
  <si>
    <t>ALUNO 38</t>
  </si>
  <si>
    <t>ALUNO 39</t>
  </si>
  <si>
    <t>ALUNO 40</t>
  </si>
  <si>
    <t>DESEMPENHO POR CAPACIDADE</t>
  </si>
  <si>
    <t>Capacidades Desenvolvidas</t>
  </si>
  <si>
    <t>Conhecimentos Desenvolvidos</t>
  </si>
  <si>
    <t>Critério de Avaliação</t>
  </si>
  <si>
    <t>Nível de Conhecimento</t>
  </si>
  <si>
    <t>Perc.</t>
  </si>
  <si>
    <t>ETAPAS</t>
  </si>
  <si>
    <t>Nível 0</t>
  </si>
  <si>
    <t>Nivel 1</t>
  </si>
  <si>
    <t>Nível 2</t>
  </si>
  <si>
    <t>Nível 3</t>
  </si>
  <si>
    <t>Nível 4</t>
  </si>
  <si>
    <t>%</t>
  </si>
  <si>
    <t>AV01</t>
  </si>
  <si>
    <t>AV02</t>
  </si>
  <si>
    <t>1ª</t>
  </si>
  <si>
    <t>2ª</t>
  </si>
  <si>
    <t>MÉDIA</t>
  </si>
  <si>
    <t>NOTA</t>
  </si>
  <si>
    <t>Capacidades Básicas/Técnicas</t>
  </si>
  <si>
    <t>Capacidade Técnica 01</t>
  </si>
  <si>
    <t>Conhecimentos relacionados a capacidade 01</t>
  </si>
  <si>
    <t>O aluno identificou  as .....</t>
  </si>
  <si>
    <t>Não realizado</t>
  </si>
  <si>
    <t>Abaixo do Básico</t>
  </si>
  <si>
    <t xml:space="preserve">Básico </t>
  </si>
  <si>
    <t>Adequado</t>
  </si>
  <si>
    <t>Avançado</t>
  </si>
  <si>
    <t>Capacidade Técnica 02</t>
  </si>
  <si>
    <t>Conhecimentos relacionados a capacidade 02</t>
  </si>
  <si>
    <t>O aluno reconheceu as .....</t>
  </si>
  <si>
    <t>Capacidade Técnica 03</t>
  </si>
  <si>
    <t>Conhecimentos relacionados a capacidade 03</t>
  </si>
  <si>
    <t>Capacidade Técnica 04</t>
  </si>
  <si>
    <t>Conhecimentos relacionados a capacidade 04</t>
  </si>
  <si>
    <t>Capacidade Técnica 05</t>
  </si>
  <si>
    <t>Conhecimentos relacionados a capacidade 05</t>
  </si>
  <si>
    <t>Capacidade Técnica 06</t>
  </si>
  <si>
    <t>Conhecimentos relacionados a capacidade 06</t>
  </si>
  <si>
    <t>O aluno aplicou .....</t>
  </si>
  <si>
    <t>Capacidade Técnica 07</t>
  </si>
  <si>
    <t>Conhecimentos relacionados a capacidade 07</t>
  </si>
  <si>
    <t>O aluno executou ...</t>
  </si>
  <si>
    <t>Capacidade Técnica 08</t>
  </si>
  <si>
    <t>Conhecimentos relacionados a capacidade 08</t>
  </si>
  <si>
    <t>Capacidade Técnica 09</t>
  </si>
  <si>
    <t>Conhecimentos relacionados a capacidade 09</t>
  </si>
  <si>
    <t>O aluno elaborou ....</t>
  </si>
  <si>
    <t>Capacidade Técnica 10</t>
  </si>
  <si>
    <t>Conhecimentos relacionados a capacidade 10</t>
  </si>
  <si>
    <t>Capacidade socioemocional 01</t>
  </si>
  <si>
    <t>Capacidade socioemocional 02</t>
  </si>
  <si>
    <t>O aluno aplicou as .....</t>
  </si>
  <si>
    <t>Capacidade socioemocional 03</t>
  </si>
  <si>
    <t>O aluno executou as .....</t>
  </si>
  <si>
    <t>Valor da Avaliação</t>
  </si>
  <si>
    <t>Resultado das Etapas:</t>
  </si>
  <si>
    <t>Resultado da AV01</t>
  </si>
  <si>
    <t>Resultado da AV02</t>
  </si>
  <si>
    <t>Nota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</si>
</sst>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quot;h&quot;"/>
    <numFmt numFmtId="165" formatCode="000&quot;h&quot;"/>
    <numFmt numFmtId="166" formatCode="0.0%"/>
  </numFmts>
  <fonts count="27" x14ac:knownFonts="1">
    <font>
      <sz val="11"/>
      <color theme="1"/>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
      <sz val="10"/>
      <color theme="1"/>
      <name val="Calibri"/>
      <family val="2"/>
      <scheme val="minor"/>
    </font>
    <font>
      <b/>
      <sz val="10"/>
      <color rgb="FF000000"/>
      <name val="Arial"/>
      <family val="2"/>
    </font>
    <font>
      <b/>
      <sz val="10"/>
      <color theme="1"/>
      <name val="Arial"/>
      <family val="2"/>
    </font>
    <font>
      <sz val="10"/>
      <color rgb="FF000000"/>
      <name val="Arial"/>
      <family val="2"/>
    </font>
    <font>
      <b/>
      <sz val="10"/>
      <color theme="1"/>
      <name val="Calibri"/>
      <family val="2"/>
      <scheme val="minor"/>
    </font>
    <font>
      <sz val="8"/>
      <name val="Calibri"/>
      <family val="2"/>
      <scheme val="minor"/>
    </font>
    <font>
      <b/>
      <i/>
      <sz val="28"/>
      <color theme="1"/>
      <name val="Calibri"/>
      <family val="2"/>
      <scheme val="minor"/>
    </font>
    <font>
      <b/>
      <i/>
      <sz val="12"/>
      <color theme="1"/>
      <name val="Calibri"/>
      <family val="2"/>
      <scheme val="minor"/>
    </font>
    <font>
      <b/>
      <sz val="12"/>
      <color rgb="FF000000"/>
      <name val="Calibri"/>
      <family val="2"/>
      <scheme val="minor"/>
    </font>
    <font>
      <sz val="12"/>
      <color rgb="FF000000"/>
      <name val="Calibri"/>
      <family val="2"/>
      <scheme val="minor"/>
    </font>
    <font>
      <b/>
      <i/>
      <sz val="36"/>
      <color theme="1"/>
      <name val="Calibri"/>
      <family val="2"/>
      <scheme val="minor"/>
    </font>
    <font>
      <b/>
      <sz val="12"/>
      <color theme="0"/>
      <name val="Calibri"/>
      <family val="2"/>
      <scheme val="minor"/>
    </font>
    <font>
      <sz val="11"/>
      <color theme="0"/>
      <name val="Calibri"/>
      <family val="2"/>
      <scheme val="minor"/>
    </font>
    <font>
      <sz val="10"/>
      <color theme="0"/>
      <name val="Calibri"/>
      <family val="2"/>
      <scheme val="minor"/>
    </font>
    <font>
      <b/>
      <sz val="10"/>
      <color theme="0"/>
      <name val="Arial"/>
      <family val="2"/>
    </font>
    <font>
      <sz val="16"/>
      <color theme="0"/>
      <name val="Calibri"/>
      <family val="2"/>
      <scheme val="minor"/>
    </font>
    <font>
      <b/>
      <sz val="11"/>
      <color theme="0"/>
      <name val="Arial"/>
      <family val="2"/>
    </font>
    <font>
      <b/>
      <sz val="9"/>
      <color theme="0"/>
      <name val="Arial"/>
      <family val="2"/>
    </font>
    <font>
      <sz val="10"/>
      <color theme="0"/>
      <name val="Arial"/>
      <family val="2"/>
    </font>
    <font>
      <b/>
      <i/>
      <sz val="12"/>
      <color theme="0"/>
      <name val="Calibri"/>
      <family val="2"/>
      <scheme val="minor"/>
    </font>
    <font>
      <b/>
      <i/>
      <sz val="36"/>
      <color theme="0"/>
      <name val="Calibri"/>
      <family val="2"/>
      <scheme val="minor"/>
    </font>
    <font>
      <b/>
      <sz val="10"/>
      <color theme="0"/>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gradientFill>
        <stop position="0">
          <color rgb="FFFF0000"/>
        </stop>
        <stop position="1">
          <color rgb="FF00B050"/>
        </stop>
      </gradientFill>
    </fill>
    <fill>
      <patternFill patternType="solid">
        <fgColor rgb="FF595959"/>
        <bgColor indexed="64"/>
      </patternFill>
    </fill>
    <fill>
      <patternFill patternType="solid">
        <fgColor theme="0" tint="-0.249977111117893"/>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right style="thin">
        <color indexed="64"/>
      </right>
      <top/>
      <bottom/>
      <diagonal/>
    </border>
    <border>
      <left style="medium">
        <color theme="0" tint="-0.14996795556505021"/>
      </left>
      <right style="medium">
        <color theme="0" tint="-0.14996795556505021"/>
      </right>
      <top style="medium">
        <color theme="0" tint="-0.14996795556505021"/>
      </top>
      <bottom style="medium">
        <color theme="0" tint="-0.14996795556505021"/>
      </bottom>
      <diagonal/>
    </border>
    <border>
      <left style="medium">
        <color rgb="FF595959"/>
      </left>
      <right style="medium">
        <color rgb="FF595959"/>
      </right>
      <top style="medium">
        <color rgb="FF595959"/>
      </top>
      <bottom style="medium">
        <color rgb="FF595959"/>
      </bottom>
      <diagonal/>
    </border>
    <border>
      <left style="medium">
        <color theme="0" tint="-0.14996795556505021"/>
      </left>
      <right/>
      <top style="medium">
        <color theme="0" tint="-0.14996795556505021"/>
      </top>
      <bottom style="medium">
        <color theme="0" tint="-0.14996795556505021"/>
      </bottom>
      <diagonal/>
    </border>
    <border>
      <left style="medium">
        <color theme="0" tint="-0.14996795556505021"/>
      </left>
      <right style="medium">
        <color theme="0" tint="-0.14996795556505021"/>
      </right>
      <top style="medium">
        <color theme="0" tint="-0.14996795556505021"/>
      </top>
      <bottom/>
      <diagonal/>
    </border>
    <border>
      <left style="medium">
        <color theme="0" tint="-0.14996795556505021"/>
      </left>
      <right style="medium">
        <color theme="0" tint="-0.14996795556505021"/>
      </right>
      <top/>
      <bottom style="medium">
        <color theme="0" tint="-0.14996795556505021"/>
      </bottom>
      <diagonal/>
    </border>
    <border>
      <left style="medium">
        <color rgb="FF595959"/>
      </left>
      <right/>
      <top style="medium">
        <color rgb="FF595959"/>
      </top>
      <bottom/>
      <diagonal/>
    </border>
    <border>
      <left/>
      <right/>
      <top style="medium">
        <color rgb="FF595959"/>
      </top>
      <bottom/>
      <diagonal/>
    </border>
    <border>
      <left/>
      <right style="medium">
        <color rgb="FF595959"/>
      </right>
      <top style="medium">
        <color rgb="FF595959"/>
      </top>
      <bottom/>
      <diagonal/>
    </border>
    <border>
      <left style="medium">
        <color rgb="FF595959"/>
      </left>
      <right/>
      <top style="medium">
        <color rgb="FF595959"/>
      </top>
      <bottom style="medium">
        <color rgb="FF595959"/>
      </bottom>
      <diagonal/>
    </border>
    <border>
      <left/>
      <right/>
      <top style="medium">
        <color rgb="FF595959"/>
      </top>
      <bottom style="medium">
        <color rgb="FF595959"/>
      </bottom>
      <diagonal/>
    </border>
    <border>
      <left/>
      <right style="medium">
        <color rgb="FF595959"/>
      </right>
      <top style="medium">
        <color rgb="FF595959"/>
      </top>
      <bottom style="medium">
        <color rgb="FF595959"/>
      </bottom>
      <diagonal/>
    </border>
    <border>
      <left style="medium">
        <color theme="0" tint="-0.14996795556505021"/>
      </left>
      <right style="medium">
        <color theme="0" tint="-0.14996795556505021"/>
      </right>
      <top style="medium">
        <color rgb="FF595959"/>
      </top>
      <bottom style="medium">
        <color theme="0" tint="-0.14996795556505021"/>
      </bottom>
      <diagonal/>
    </border>
    <border>
      <left style="medium">
        <color theme="0" tint="-0.14996795556505021"/>
      </left>
      <right style="medium">
        <color rgb="FF595959"/>
      </right>
      <top style="medium">
        <color rgb="FF595959"/>
      </top>
      <bottom style="medium">
        <color theme="0" tint="-0.14996795556505021"/>
      </bottom>
      <diagonal/>
    </border>
    <border>
      <left style="medium">
        <color theme="0" tint="-0.14996795556505021"/>
      </left>
      <right style="medium">
        <color rgb="FF595959"/>
      </right>
      <top style="medium">
        <color theme="0" tint="-0.14996795556505021"/>
      </top>
      <bottom style="medium">
        <color theme="0" tint="-0.14996795556505021"/>
      </bottom>
      <diagonal/>
    </border>
    <border>
      <left style="medium">
        <color rgb="FF595959"/>
      </left>
      <right style="medium">
        <color rgb="FF595959"/>
      </right>
      <top style="medium">
        <color rgb="FF595959"/>
      </top>
      <bottom/>
      <diagonal/>
    </border>
    <border>
      <left style="medium">
        <color rgb="FF595959"/>
      </left>
      <right style="medium">
        <color rgb="FF595959"/>
      </right>
      <top/>
      <bottom/>
      <diagonal/>
    </border>
    <border>
      <left style="medium">
        <color rgb="FF595959"/>
      </left>
      <right style="medium">
        <color rgb="FF595959"/>
      </right>
      <top/>
      <bottom style="medium">
        <color rgb="FF595959"/>
      </bottom>
      <diagonal/>
    </border>
    <border>
      <left/>
      <right style="medium">
        <color theme="0" tint="-0.14996795556505021"/>
      </right>
      <top/>
      <bottom/>
      <diagonal/>
    </border>
    <border>
      <left/>
      <right style="medium">
        <color rgb="FF595959"/>
      </right>
      <top/>
      <bottom/>
      <diagonal/>
    </border>
    <border>
      <left style="medium">
        <color rgb="FF595959"/>
      </left>
      <right/>
      <top/>
      <bottom/>
      <diagonal/>
    </border>
    <border>
      <left style="medium">
        <color theme="0" tint="-0.14996795556505021"/>
      </left>
      <right/>
      <top style="medium">
        <color theme="0" tint="-0.14996795556505021"/>
      </top>
      <bottom/>
      <diagonal/>
    </border>
    <border>
      <left style="medium">
        <color theme="0" tint="-0.14996795556505021"/>
      </left>
      <right style="medium">
        <color theme="0" tint="-0.14993743705557422"/>
      </right>
      <top style="medium">
        <color theme="0" tint="-0.14996795556505021"/>
      </top>
      <bottom style="medium">
        <color theme="0" tint="-0.14996795556505021"/>
      </bottom>
      <diagonal/>
    </border>
  </borders>
  <cellStyleXfs count="3">
    <xf numFmtId="0" fontId="0" fillId="0" borderId="0"/>
    <xf numFmtId="9" fontId="3" fillId="0" borderId="0" applyFont="0" applyFill="0" applyBorder="0" applyAlignment="0" applyProtection="0"/>
    <xf numFmtId="0" fontId="6" fillId="5" borderId="15" applyFont="0" applyBorder="0">
      <alignment horizontal="center" vertical="center" wrapText="1"/>
    </xf>
  </cellStyleXfs>
  <cellXfs count="197">
    <xf numFmtId="0" fontId="0" fillId="0" borderId="0" xfId="0"/>
    <xf numFmtId="9" fontId="0" fillId="0" borderId="0" xfId="0" applyNumberFormat="1"/>
    <xf numFmtId="9" fontId="0" fillId="0" borderId="0" xfId="1" applyFont="1"/>
    <xf numFmtId="0" fontId="1" fillId="0" borderId="0" xfId="0" applyFont="1"/>
    <xf numFmtId="0" fontId="4" fillId="0" borderId="0" xfId="0" applyFont="1" applyAlignment="1">
      <alignment horizontal="left" vertical="center" indent="2"/>
    </xf>
    <xf numFmtId="0" fontId="12" fillId="0" borderId="4" xfId="0" applyFont="1" applyBorder="1" applyAlignment="1">
      <alignment horizontal="left" vertical="center" indent="2"/>
    </xf>
    <xf numFmtId="0" fontId="12" fillId="0" borderId="3" xfId="0" applyFont="1" applyBorder="1" applyAlignment="1">
      <alignment horizontal="left" vertical="center" indent="2"/>
    </xf>
    <xf numFmtId="0" fontId="4" fillId="0" borderId="12" xfId="0" applyFont="1" applyBorder="1" applyAlignment="1">
      <alignment horizontal="left" vertical="center" indent="2"/>
    </xf>
    <xf numFmtId="0" fontId="4" fillId="0" borderId="5" xfId="0" applyFont="1" applyBorder="1" applyAlignment="1">
      <alignment horizontal="left" vertical="center" indent="2"/>
    </xf>
    <xf numFmtId="0" fontId="2" fillId="2" borderId="2" xfId="0" applyFont="1" applyFill="1" applyBorder="1" applyAlignment="1">
      <alignment horizontal="left" vertical="top" indent="2"/>
    </xf>
    <xf numFmtId="0" fontId="4" fillId="0" borderId="14" xfId="0" applyFont="1" applyBorder="1" applyAlignment="1">
      <alignment horizontal="left" vertical="center" indent="2"/>
    </xf>
    <xf numFmtId="0" fontId="2" fillId="2" borderId="1" xfId="0" applyFont="1" applyFill="1" applyBorder="1" applyAlignment="1">
      <alignment horizontal="left" vertical="top" indent="2"/>
    </xf>
    <xf numFmtId="0" fontId="4" fillId="2" borderId="8" xfId="0" applyFont="1" applyFill="1" applyBorder="1" applyAlignment="1">
      <alignment horizontal="left" vertical="center" indent="2"/>
    </xf>
    <xf numFmtId="0" fontId="4" fillId="0" borderId="4" xfId="0" applyFont="1" applyBorder="1" applyAlignment="1">
      <alignment horizontal="left" vertical="center" indent="2"/>
    </xf>
    <xf numFmtId="0" fontId="4" fillId="0" borderId="3" xfId="0" applyFont="1" applyBorder="1" applyAlignment="1">
      <alignment horizontal="left" vertical="center" indent="2"/>
    </xf>
    <xf numFmtId="0" fontId="4" fillId="0" borderId="7" xfId="0" applyFont="1" applyBorder="1" applyAlignment="1">
      <alignment horizontal="left" vertical="center" indent="2"/>
    </xf>
    <xf numFmtId="0" fontId="4" fillId="0" borderId="8" xfId="0" applyFont="1" applyBorder="1" applyAlignment="1">
      <alignment horizontal="left" vertical="center" indent="2"/>
    </xf>
    <xf numFmtId="0" fontId="4" fillId="0" borderId="13" xfId="0" applyFont="1" applyBorder="1" applyAlignment="1">
      <alignment horizontal="left" vertical="center" indent="2"/>
    </xf>
    <xf numFmtId="0" fontId="13" fillId="2" borderId="1" xfId="0" applyFont="1" applyFill="1" applyBorder="1" applyAlignment="1">
      <alignment horizontal="left" vertical="top" wrapText="1" indent="2"/>
    </xf>
    <xf numFmtId="0" fontId="12" fillId="0" borderId="7" xfId="0" applyFont="1" applyBorder="1" applyAlignment="1">
      <alignment horizontal="left" vertical="center" indent="2"/>
    </xf>
    <xf numFmtId="0" fontId="2" fillId="2" borderId="2" xfId="0" applyFont="1" applyFill="1" applyBorder="1" applyAlignment="1">
      <alignment horizontal="left" vertical="top" wrapText="1" indent="2"/>
    </xf>
    <xf numFmtId="0" fontId="2" fillId="0" borderId="0" xfId="0" applyFont="1" applyAlignment="1">
      <alignment horizontal="left" vertical="center" indent="2"/>
    </xf>
    <xf numFmtId="0" fontId="4" fillId="0" borderId="0" xfId="0" applyFont="1" applyAlignment="1">
      <alignment horizontal="left" vertical="top"/>
    </xf>
    <xf numFmtId="0" fontId="2" fillId="3" borderId="4" xfId="0" applyFont="1" applyFill="1" applyBorder="1" applyAlignment="1" applyProtection="1">
      <alignment horizontal="center" vertical="center"/>
      <protection locked="0"/>
    </xf>
    <xf numFmtId="0" fontId="2" fillId="0" borderId="4" xfId="0" applyFont="1" applyBorder="1" applyAlignment="1" applyProtection="1">
      <alignment horizontal="center" vertical="center" wrapText="1"/>
      <protection locked="0"/>
    </xf>
    <xf numFmtId="14" fontId="4" fillId="0" borderId="3" xfId="0" applyNumberFormat="1" applyFont="1" applyBorder="1" applyAlignment="1" applyProtection="1">
      <alignment horizontal="center" vertical="center"/>
      <protection locked="0"/>
    </xf>
    <xf numFmtId="14" fontId="4" fillId="0" borderId="1" xfId="0" applyNumberFormat="1" applyFont="1" applyBorder="1" applyAlignment="1" applyProtection="1">
      <alignment horizontal="center" vertical="center"/>
      <protection locked="0"/>
    </xf>
    <xf numFmtId="0" fontId="4" fillId="0" borderId="1" xfId="0" applyFont="1" applyBorder="1" applyAlignment="1" applyProtection="1">
      <alignment horizontal="center" vertical="center"/>
      <protection locked="0"/>
    </xf>
    <xf numFmtId="0" fontId="4" fillId="0" borderId="0" xfId="0" applyFont="1" applyAlignment="1" applyProtection="1">
      <alignment horizontal="left" vertical="center" indent="2"/>
      <protection locked="0"/>
    </xf>
    <xf numFmtId="0" fontId="13" fillId="0" borderId="2" xfId="0" applyFont="1" applyBorder="1" applyAlignment="1" applyProtection="1">
      <alignment horizontal="center" vertical="center"/>
      <protection locked="0"/>
    </xf>
    <xf numFmtId="0" fontId="4" fillId="3" borderId="1" xfId="0" applyFont="1" applyFill="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4" fillId="0" borderId="1" xfId="0" applyFont="1" applyBorder="1" applyAlignment="1" applyProtection="1">
      <alignment horizontal="center" vertical="center" wrapText="1"/>
      <protection locked="0"/>
    </xf>
    <xf numFmtId="0" fontId="0" fillId="0" borderId="0" xfId="0" applyAlignment="1">
      <alignment wrapText="1"/>
    </xf>
    <xf numFmtId="0" fontId="4" fillId="0" borderId="4" xfId="0" applyFont="1" applyBorder="1" applyAlignment="1" applyProtection="1">
      <alignment horizontal="left" vertical="center" indent="2"/>
      <protection locked="0"/>
    </xf>
    <xf numFmtId="0" fontId="7" fillId="7" borderId="18" xfId="0" applyFont="1" applyFill="1" applyBorder="1" applyAlignment="1">
      <alignment horizontal="center" vertical="center" wrapText="1"/>
    </xf>
    <xf numFmtId="0" fontId="0" fillId="4" borderId="21" xfId="0" applyFill="1" applyBorder="1" applyAlignment="1">
      <alignment horizontal="center"/>
    </xf>
    <xf numFmtId="0" fontId="4" fillId="7" borderId="19" xfId="0" applyFont="1" applyFill="1" applyBorder="1" applyAlignment="1">
      <alignment horizontal="center" vertical="center" textRotation="90"/>
    </xf>
    <xf numFmtId="0" fontId="19" fillId="6" borderId="31" xfId="0" applyFont="1" applyFill="1" applyBorder="1" applyAlignment="1">
      <alignment horizontal="center" vertical="center" wrapText="1"/>
    </xf>
    <xf numFmtId="0" fontId="19" fillId="6" borderId="33" xfId="0" applyFont="1" applyFill="1" applyBorder="1" applyAlignment="1">
      <alignment horizontal="center" vertical="center" wrapText="1"/>
    </xf>
    <xf numFmtId="0" fontId="5" fillId="6" borderId="34" xfId="0" applyFont="1" applyFill="1" applyBorder="1" applyAlignment="1">
      <alignment vertical="center"/>
    </xf>
    <xf numFmtId="0" fontId="11" fillId="0" borderId="7" xfId="0" applyFont="1" applyBorder="1" applyAlignment="1">
      <alignment horizontal="left" vertical="center" indent="2"/>
    </xf>
    <xf numFmtId="0" fontId="24" fillId="6" borderId="7" xfId="0" applyFont="1" applyFill="1" applyBorder="1" applyAlignment="1">
      <alignment horizontal="left" vertical="center" indent="2"/>
    </xf>
    <xf numFmtId="0" fontId="24" fillId="6" borderId="4" xfId="0" applyFont="1" applyFill="1" applyBorder="1" applyAlignment="1">
      <alignment horizontal="left" vertical="center" indent="2"/>
    </xf>
    <xf numFmtId="0" fontId="2" fillId="2" borderId="13"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5" fillId="6" borderId="6" xfId="0" applyFont="1" applyFill="1" applyBorder="1" applyAlignment="1">
      <alignment horizontal="left" vertical="center" indent="2"/>
    </xf>
    <xf numFmtId="9" fontId="6" fillId="0" borderId="18" xfId="1" applyFont="1" applyBorder="1" applyAlignment="1">
      <alignment horizontal="center" vertical="center" wrapText="1"/>
    </xf>
    <xf numFmtId="4" fontId="6" fillId="0" borderId="18" xfId="1" applyNumberFormat="1" applyFont="1" applyBorder="1" applyAlignment="1">
      <alignment horizontal="center" vertical="center" wrapText="1"/>
    </xf>
    <xf numFmtId="10" fontId="6" fillId="0" borderId="18" xfId="1" applyNumberFormat="1" applyFont="1" applyBorder="1" applyAlignment="1">
      <alignment horizontal="center" vertical="center" wrapText="1"/>
    </xf>
    <xf numFmtId="0" fontId="7" fillId="7" borderId="36" xfId="0" applyFont="1" applyFill="1" applyBorder="1" applyAlignment="1">
      <alignment horizontal="center" vertical="center" wrapText="1"/>
    </xf>
    <xf numFmtId="0" fontId="7" fillId="7" borderId="0" xfId="0" applyFont="1" applyFill="1" applyAlignment="1">
      <alignment horizontal="center" vertical="center" wrapText="1"/>
    </xf>
    <xf numFmtId="0" fontId="7" fillId="7" borderId="35" xfId="0" applyFont="1" applyFill="1" applyBorder="1" applyAlignment="1">
      <alignment horizontal="center" vertical="center" wrapText="1"/>
    </xf>
    <xf numFmtId="9" fontId="8" fillId="0" borderId="18" xfId="1" applyFont="1" applyBorder="1" applyAlignment="1">
      <alignment horizontal="center" vertical="center" wrapText="1"/>
    </xf>
    <xf numFmtId="0" fontId="4" fillId="7" borderId="37" xfId="0" applyFont="1" applyFill="1" applyBorder="1" applyAlignment="1">
      <alignment horizontal="center" vertical="center" textRotation="90"/>
    </xf>
    <xf numFmtId="0" fontId="4" fillId="7" borderId="29" xfId="0" applyFont="1" applyFill="1" applyBorder="1" applyAlignment="1">
      <alignment horizontal="center" vertical="center" textRotation="90"/>
    </xf>
    <xf numFmtId="0" fontId="4" fillId="7" borderId="30" xfId="0" applyFont="1" applyFill="1" applyBorder="1" applyAlignment="1">
      <alignment horizontal="center" vertical="center" textRotation="90"/>
    </xf>
    <xf numFmtId="1" fontId="6" fillId="0" borderId="18" xfId="0" applyNumberFormat="1" applyFont="1" applyBorder="1" applyAlignment="1" applyProtection="1">
      <alignment horizontal="center" vertical="center" wrapText="1"/>
      <protection locked="0"/>
    </xf>
    <xf numFmtId="166" fontId="22" fillId="6" borderId="32" xfId="0" applyNumberFormat="1" applyFont="1" applyFill="1" applyBorder="1" applyAlignment="1" applyProtection="1">
      <alignment horizontal="center" vertical="center" wrapText="1"/>
      <protection locked="0"/>
    </xf>
    <xf numFmtId="166" fontId="22" fillId="6" borderId="33" xfId="0" applyNumberFormat="1" applyFont="1" applyFill="1" applyBorder="1" applyAlignment="1" applyProtection="1">
      <alignment horizontal="center" vertical="center" wrapText="1"/>
      <protection locked="0"/>
    </xf>
    <xf numFmtId="0" fontId="8" fillId="0" borderId="18" xfId="0" applyFont="1" applyBorder="1" applyAlignment="1" applyProtection="1">
      <alignment horizontal="center" vertical="center" wrapText="1"/>
      <protection locked="0"/>
    </xf>
    <xf numFmtId="0" fontId="23" fillId="6" borderId="18" xfId="0" applyFont="1" applyFill="1" applyBorder="1" applyAlignment="1" applyProtection="1">
      <alignment horizontal="center" vertical="center" wrapText="1"/>
      <protection locked="0"/>
    </xf>
    <xf numFmtId="0" fontId="8" fillId="0" borderId="18" xfId="0" applyFont="1" applyBorder="1" applyAlignment="1" applyProtection="1">
      <alignment vertical="center" wrapText="1"/>
      <protection locked="0"/>
    </xf>
    <xf numFmtId="9" fontId="17" fillId="6" borderId="21" xfId="1" applyFont="1" applyFill="1" applyBorder="1" applyAlignment="1">
      <alignment horizontal="center"/>
    </xf>
    <xf numFmtId="0" fontId="4" fillId="0" borderId="6"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8"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4" fillId="0" borderId="0" xfId="0" applyFont="1" applyAlignment="1" applyProtection="1">
      <alignment horizontal="left" vertical="top" wrapText="1"/>
      <protection locked="0"/>
    </xf>
    <xf numFmtId="0" fontId="4" fillId="0" borderId="16" xfId="0" applyFont="1" applyBorder="1" applyAlignment="1" applyProtection="1">
      <alignment horizontal="left" vertical="top" wrapText="1"/>
      <protection locked="0"/>
    </xf>
    <xf numFmtId="0" fontId="4" fillId="0" borderId="9"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4" fillId="0" borderId="11" xfId="0" applyFont="1" applyBorder="1" applyAlignment="1" applyProtection="1">
      <alignment horizontal="left" vertical="top" wrapText="1"/>
      <protection locked="0"/>
    </xf>
    <xf numFmtId="0" fontId="2" fillId="4" borderId="2" xfId="0" applyFont="1" applyFill="1" applyBorder="1" applyAlignment="1">
      <alignment horizontal="center" vertical="center"/>
    </xf>
    <xf numFmtId="0" fontId="2" fillId="4" borderId="4" xfId="0" applyFont="1" applyFill="1" applyBorder="1" applyAlignment="1">
      <alignment horizontal="center" vertical="center"/>
    </xf>
    <xf numFmtId="0" fontId="2" fillId="4" borderId="3" xfId="0" applyFont="1" applyFill="1" applyBorder="1" applyAlignment="1">
      <alignment horizontal="center" vertical="center"/>
    </xf>
    <xf numFmtId="0" fontId="25" fillId="0" borderId="4" xfId="0" applyFont="1" applyBorder="1" applyAlignment="1">
      <alignment horizontal="center" vertical="center"/>
    </xf>
    <xf numFmtId="0" fontId="25" fillId="0" borderId="3" xfId="0" applyFont="1" applyBorder="1" applyAlignment="1">
      <alignment horizontal="center" vertical="center"/>
    </xf>
    <xf numFmtId="0" fontId="2" fillId="0" borderId="4" xfId="0" applyFont="1" applyBorder="1" applyAlignment="1">
      <alignment horizontal="center" vertical="top"/>
    </xf>
    <xf numFmtId="0" fontId="25" fillId="6" borderId="2" xfId="0" applyFont="1" applyFill="1" applyBorder="1" applyAlignment="1">
      <alignment horizontal="left" vertical="center" indent="2"/>
    </xf>
    <xf numFmtId="0" fontId="25" fillId="6" borderId="4" xfId="0" applyFont="1" applyFill="1" applyBorder="1" applyAlignment="1">
      <alignment horizontal="left" vertical="center" indent="2"/>
    </xf>
    <xf numFmtId="0" fontId="2" fillId="4" borderId="10" xfId="0" applyFont="1" applyFill="1" applyBorder="1" applyAlignment="1">
      <alignment horizontal="center" vertical="center"/>
    </xf>
    <xf numFmtId="0" fontId="2" fillId="4" borderId="11" xfId="0" applyFont="1" applyFill="1" applyBorder="1" applyAlignment="1">
      <alignment horizontal="center" vertical="center"/>
    </xf>
    <xf numFmtId="0" fontId="13" fillId="2" borderId="2" xfId="0" applyFont="1" applyFill="1" applyBorder="1" applyAlignment="1">
      <alignment horizontal="left" vertical="top" indent="2"/>
    </xf>
    <xf numFmtId="0" fontId="13" fillId="2" borderId="3" xfId="0" applyFont="1" applyFill="1" applyBorder="1" applyAlignment="1">
      <alignment horizontal="left" vertical="top" indent="2"/>
    </xf>
    <xf numFmtId="0" fontId="4" fillId="0" borderId="4" xfId="0"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0" fontId="16" fillId="6" borderId="6" xfId="0" applyFont="1" applyFill="1" applyBorder="1" applyAlignment="1">
      <alignment horizontal="center" vertical="center"/>
    </xf>
    <xf numFmtId="0" fontId="16" fillId="6" borderId="7" xfId="0" applyFont="1" applyFill="1" applyBorder="1" applyAlignment="1">
      <alignment horizontal="center" vertical="center"/>
    </xf>
    <xf numFmtId="0" fontId="16" fillId="6" borderId="8" xfId="0" applyFont="1" applyFill="1" applyBorder="1" applyAlignment="1">
      <alignment horizontal="center" vertical="center"/>
    </xf>
    <xf numFmtId="0" fontId="2" fillId="2" borderId="2" xfId="0" applyFont="1" applyFill="1" applyBorder="1" applyAlignment="1">
      <alignment horizontal="left" vertical="top" indent="2"/>
    </xf>
    <xf numFmtId="0" fontId="2" fillId="2" borderId="3" xfId="0" applyFont="1" applyFill="1" applyBorder="1" applyAlignment="1">
      <alignment horizontal="left" vertical="top" indent="2"/>
    </xf>
    <xf numFmtId="0" fontId="2" fillId="4" borderId="9" xfId="0" applyFont="1" applyFill="1" applyBorder="1" applyAlignment="1">
      <alignment horizontal="center" vertical="center"/>
    </xf>
    <xf numFmtId="0" fontId="13" fillId="0" borderId="2" xfId="0" applyFont="1" applyBorder="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3" fillId="0" borderId="3" xfId="0" applyFont="1" applyBorder="1" applyAlignment="1" applyProtection="1">
      <alignment horizontal="center" vertical="center"/>
      <protection locked="0"/>
    </xf>
    <xf numFmtId="0" fontId="4" fillId="3" borderId="3" xfId="0" applyFont="1" applyFill="1" applyBorder="1" applyAlignment="1" applyProtection="1">
      <alignment horizontal="left" vertical="center" indent="2"/>
      <protection locked="0"/>
    </xf>
    <xf numFmtId="0" fontId="4" fillId="3" borderId="1" xfId="0" applyFont="1" applyFill="1" applyBorder="1" applyAlignment="1" applyProtection="1">
      <alignment horizontal="left" vertical="center" indent="2"/>
      <protection locked="0"/>
    </xf>
    <xf numFmtId="0" fontId="2" fillId="2" borderId="1" xfId="0" applyFont="1" applyFill="1" applyBorder="1" applyAlignment="1">
      <alignment horizontal="left" vertical="top" indent="2"/>
    </xf>
    <xf numFmtId="0" fontId="4" fillId="0" borderId="4" xfId="0" applyFont="1" applyBorder="1" applyAlignment="1" applyProtection="1">
      <alignment horizontal="left" vertical="top" wrapText="1" indent="2"/>
      <protection locked="0"/>
    </xf>
    <xf numFmtId="0" fontId="14" fillId="0" borderId="4" xfId="0" applyFont="1" applyBorder="1" applyAlignment="1" applyProtection="1">
      <alignment horizontal="left" vertical="top" wrapText="1" indent="2"/>
      <protection locked="0"/>
    </xf>
    <xf numFmtId="0" fontId="4" fillId="0" borderId="4" xfId="0" applyFont="1" applyBorder="1" applyAlignment="1" applyProtection="1">
      <alignment horizontal="left" vertical="center" wrapText="1" indent="2"/>
      <protection locked="0"/>
    </xf>
    <xf numFmtId="0" fontId="4" fillId="0" borderId="3" xfId="0" applyFont="1" applyBorder="1" applyAlignment="1" applyProtection="1">
      <alignment horizontal="left" vertical="center" wrapText="1" indent="2"/>
      <protection locked="0"/>
    </xf>
    <xf numFmtId="0" fontId="4" fillId="3" borderId="4" xfId="0" applyFont="1" applyFill="1" applyBorder="1" applyAlignment="1" applyProtection="1">
      <alignment horizontal="left" vertical="center" indent="2"/>
      <protection locked="0"/>
    </xf>
    <xf numFmtId="0" fontId="4" fillId="0" borderId="4" xfId="0" applyFont="1" applyBorder="1" applyAlignment="1" applyProtection="1">
      <alignment horizontal="left" vertical="center" indent="2"/>
      <protection locked="0"/>
    </xf>
    <xf numFmtId="0" fontId="4" fillId="0" borderId="3" xfId="0" applyFont="1" applyBorder="1" applyAlignment="1" applyProtection="1">
      <alignment horizontal="left" vertical="center" indent="2"/>
      <protection locked="0"/>
    </xf>
    <xf numFmtId="0" fontId="14" fillId="3" borderId="1" xfId="0" applyFont="1" applyFill="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14" fontId="4" fillId="0" borderId="12" xfId="0" applyNumberFormat="1" applyFont="1" applyBorder="1" applyAlignment="1" applyProtection="1">
      <alignment horizontal="center" vertical="center" wrapText="1"/>
      <protection locked="0"/>
    </xf>
    <xf numFmtId="14" fontId="4" fillId="0" borderId="13" xfId="0" applyNumberFormat="1" applyFont="1" applyBorder="1" applyAlignment="1" applyProtection="1">
      <alignment horizontal="center" vertical="center" wrapText="1"/>
      <protection locked="0"/>
    </xf>
    <xf numFmtId="164" fontId="4" fillId="3" borderId="1" xfId="0" applyNumberFormat="1" applyFont="1" applyFill="1" applyBorder="1" applyAlignment="1" applyProtection="1">
      <alignment horizontal="center" vertical="center" wrapText="1"/>
      <protection locked="0"/>
    </xf>
    <xf numFmtId="0" fontId="4" fillId="3" borderId="1" xfId="0" applyFont="1" applyFill="1" applyBorder="1" applyAlignment="1" applyProtection="1">
      <alignment horizontal="left" vertical="top" wrapText="1"/>
      <protection locked="0"/>
    </xf>
    <xf numFmtId="0" fontId="4" fillId="3" borderId="1" xfId="0" applyFont="1" applyFill="1" applyBorder="1" applyAlignment="1" applyProtection="1">
      <alignment horizontal="center" vertical="center" wrapText="1"/>
      <protection locked="0"/>
    </xf>
    <xf numFmtId="0" fontId="4" fillId="0" borderId="1" xfId="0" applyFont="1" applyBorder="1" applyAlignment="1" applyProtection="1">
      <alignment horizontal="center" vertical="center" wrapText="1"/>
      <protection locked="0"/>
    </xf>
    <xf numFmtId="164" fontId="4" fillId="3" borderId="12" xfId="0" applyNumberFormat="1" applyFont="1" applyFill="1" applyBorder="1" applyAlignment="1" applyProtection="1">
      <alignment horizontal="center" vertical="center" wrapText="1"/>
      <protection locked="0"/>
    </xf>
    <xf numFmtId="164" fontId="4" fillId="3" borderId="13" xfId="0" applyNumberFormat="1" applyFont="1" applyFill="1" applyBorder="1" applyAlignment="1" applyProtection="1">
      <alignment horizontal="center" vertical="center" wrapText="1"/>
      <protection locked="0"/>
    </xf>
    <xf numFmtId="0" fontId="4" fillId="3" borderId="6" xfId="0" applyFont="1" applyFill="1" applyBorder="1" applyAlignment="1" applyProtection="1">
      <alignment horizontal="center" vertical="center" wrapText="1"/>
      <protection locked="0"/>
    </xf>
    <xf numFmtId="0" fontId="4" fillId="3" borderId="7" xfId="0" applyFont="1" applyFill="1" applyBorder="1" applyAlignment="1" applyProtection="1">
      <alignment horizontal="center" vertical="center" wrapText="1"/>
      <protection locked="0"/>
    </xf>
    <xf numFmtId="0" fontId="4" fillId="3" borderId="8" xfId="0" applyFont="1" applyFill="1" applyBorder="1" applyAlignment="1" applyProtection="1">
      <alignment horizontal="center" vertical="center" wrapText="1"/>
      <protection locked="0"/>
    </xf>
    <xf numFmtId="0" fontId="4" fillId="3" borderId="9" xfId="0" applyFont="1" applyFill="1" applyBorder="1" applyAlignment="1" applyProtection="1">
      <alignment horizontal="center" vertical="center" wrapText="1"/>
      <protection locked="0"/>
    </xf>
    <xf numFmtId="0" fontId="4" fillId="3" borderId="10" xfId="0" applyFont="1" applyFill="1" applyBorder="1" applyAlignment="1" applyProtection="1">
      <alignment horizontal="center" vertical="center" wrapText="1"/>
      <protection locked="0"/>
    </xf>
    <xf numFmtId="0" fontId="4" fillId="3" borderId="11" xfId="0" applyFont="1" applyFill="1" applyBorder="1" applyAlignment="1" applyProtection="1">
      <alignment horizontal="center" vertical="center" wrapText="1"/>
      <protection locked="0"/>
    </xf>
    <xf numFmtId="0" fontId="4" fillId="3" borderId="12" xfId="0" applyFont="1" applyFill="1" applyBorder="1" applyAlignment="1" applyProtection="1">
      <alignment horizontal="center" vertical="center" wrapText="1"/>
      <protection locked="0"/>
    </xf>
    <xf numFmtId="0" fontId="4" fillId="3" borderId="13" xfId="0" applyFont="1" applyFill="1" applyBorder="1" applyAlignment="1" applyProtection="1">
      <alignment horizontal="center" vertical="center" wrapText="1"/>
      <protection locked="0"/>
    </xf>
    <xf numFmtId="14" fontId="4" fillId="0" borderId="1" xfId="0" applyNumberFormat="1" applyFont="1" applyBorder="1" applyAlignment="1" applyProtection="1">
      <alignment horizontal="center" vertical="center" wrapText="1"/>
      <protection locked="0"/>
    </xf>
    <xf numFmtId="0" fontId="4" fillId="3" borderId="6" xfId="0" applyFont="1" applyFill="1" applyBorder="1" applyAlignment="1" applyProtection="1">
      <alignment horizontal="left" vertical="top" wrapText="1"/>
      <protection locked="0"/>
    </xf>
    <xf numFmtId="0" fontId="4" fillId="3" borderId="7" xfId="0" applyFont="1" applyFill="1" applyBorder="1" applyAlignment="1" applyProtection="1">
      <alignment horizontal="left" vertical="top" wrapText="1"/>
      <protection locked="0"/>
    </xf>
    <xf numFmtId="0" fontId="4" fillId="3" borderId="8" xfId="0" applyFont="1" applyFill="1" applyBorder="1" applyAlignment="1" applyProtection="1">
      <alignment horizontal="left" vertical="top" wrapText="1"/>
      <protection locked="0"/>
    </xf>
    <xf numFmtId="0" fontId="4" fillId="3" borderId="9" xfId="0" applyFont="1" applyFill="1" applyBorder="1" applyAlignment="1" applyProtection="1">
      <alignment horizontal="left" vertical="top" wrapText="1"/>
      <protection locked="0"/>
    </xf>
    <xf numFmtId="0" fontId="4" fillId="3" borderId="10" xfId="0" applyFont="1" applyFill="1" applyBorder="1" applyAlignment="1" applyProtection="1">
      <alignment horizontal="left" vertical="top" wrapText="1"/>
      <protection locked="0"/>
    </xf>
    <xf numFmtId="0" fontId="4" fillId="3" borderId="11" xfId="0" applyFont="1" applyFill="1" applyBorder="1" applyAlignment="1" applyProtection="1">
      <alignment horizontal="left" vertical="top" wrapText="1"/>
      <protection locked="0"/>
    </xf>
    <xf numFmtId="0" fontId="4" fillId="0" borderId="9" xfId="0" applyFont="1" applyBorder="1" applyAlignment="1" applyProtection="1">
      <alignment horizontal="left" vertical="top" wrapText="1" indent="2"/>
      <protection locked="0"/>
    </xf>
    <xf numFmtId="0" fontId="4" fillId="0" borderId="10" xfId="0" applyFont="1" applyBorder="1" applyAlignment="1" applyProtection="1">
      <alignment horizontal="left" vertical="top" indent="2"/>
      <protection locked="0"/>
    </xf>
    <xf numFmtId="0" fontId="4" fillId="0" borderId="11" xfId="0" applyFont="1" applyBorder="1" applyAlignment="1" applyProtection="1">
      <alignment horizontal="left" vertical="top" indent="2"/>
      <protection locked="0"/>
    </xf>
    <xf numFmtId="0" fontId="16" fillId="6" borderId="6" xfId="0" applyFont="1" applyFill="1" applyBorder="1" applyAlignment="1" applyProtection="1">
      <alignment horizontal="center" vertical="center" wrapText="1"/>
      <protection locked="0"/>
    </xf>
    <xf numFmtId="0" fontId="16" fillId="6" borderId="7" xfId="0" applyFont="1" applyFill="1" applyBorder="1" applyAlignment="1" applyProtection="1">
      <alignment horizontal="center" vertical="center" wrapText="1"/>
      <protection locked="0"/>
    </xf>
    <xf numFmtId="0" fontId="16" fillId="6" borderId="8" xfId="0" applyFont="1" applyFill="1" applyBorder="1" applyAlignment="1" applyProtection="1">
      <alignment horizontal="center" vertical="center" wrapText="1"/>
      <protection locked="0"/>
    </xf>
    <xf numFmtId="0" fontId="2" fillId="2" borderId="13" xfId="0" applyFont="1" applyFill="1" applyBorder="1" applyAlignment="1">
      <alignment horizontal="center" vertical="center" wrapText="1"/>
    </xf>
    <xf numFmtId="0" fontId="13" fillId="2" borderId="13" xfId="0" applyFont="1" applyFill="1" applyBorder="1" applyAlignment="1">
      <alignment horizontal="center" vertical="center" wrapText="1"/>
    </xf>
    <xf numFmtId="0" fontId="4" fillId="3" borderId="6" xfId="0" applyFont="1" applyFill="1" applyBorder="1" applyAlignment="1" applyProtection="1">
      <alignment horizontal="center" vertical="top" wrapText="1"/>
      <protection locked="0"/>
    </xf>
    <xf numFmtId="0" fontId="4" fillId="3" borderId="7" xfId="0" applyFont="1" applyFill="1" applyBorder="1" applyAlignment="1" applyProtection="1">
      <alignment horizontal="center" vertical="top" wrapText="1"/>
      <protection locked="0"/>
    </xf>
    <xf numFmtId="0" fontId="4" fillId="3" borderId="8" xfId="0" applyFont="1" applyFill="1" applyBorder="1" applyAlignment="1" applyProtection="1">
      <alignment horizontal="center" vertical="top" wrapText="1"/>
      <protection locked="0"/>
    </xf>
    <xf numFmtId="0" fontId="4" fillId="3" borderId="9" xfId="0" applyFont="1" applyFill="1" applyBorder="1" applyAlignment="1" applyProtection="1">
      <alignment horizontal="center" vertical="top" wrapText="1"/>
      <protection locked="0"/>
    </xf>
    <xf numFmtId="0" fontId="4" fillId="3" borderId="10" xfId="0" applyFont="1" applyFill="1" applyBorder="1" applyAlignment="1" applyProtection="1">
      <alignment horizontal="center" vertical="top" wrapText="1"/>
      <protection locked="0"/>
    </xf>
    <xf numFmtId="0" fontId="4" fillId="3" borderId="11" xfId="0" applyFont="1" applyFill="1" applyBorder="1" applyAlignment="1" applyProtection="1">
      <alignment horizontal="center" vertical="top" wrapText="1"/>
      <protection locked="0"/>
    </xf>
    <xf numFmtId="165" fontId="4" fillId="3" borderId="4" xfId="0" applyNumberFormat="1" applyFont="1" applyFill="1" applyBorder="1" applyAlignment="1">
      <alignment horizontal="center" vertical="center"/>
    </xf>
    <xf numFmtId="165" fontId="4" fillId="3" borderId="3" xfId="0" applyNumberFormat="1" applyFont="1" applyFill="1" applyBorder="1" applyAlignment="1">
      <alignment horizontal="center" vertical="center"/>
    </xf>
    <xf numFmtId="0" fontId="16" fillId="6" borderId="2" xfId="0" applyFont="1" applyFill="1" applyBorder="1" applyAlignment="1">
      <alignment horizontal="left" vertical="top" indent="2"/>
    </xf>
    <xf numFmtId="0" fontId="16" fillId="6" borderId="4" xfId="0" applyFont="1" applyFill="1" applyBorder="1" applyAlignment="1">
      <alignment horizontal="left" vertical="top" indent="2"/>
    </xf>
    <xf numFmtId="0" fontId="16" fillId="6" borderId="3" xfId="0" applyFont="1" applyFill="1" applyBorder="1" applyAlignment="1">
      <alignment horizontal="left" vertical="top" indent="2"/>
    </xf>
    <xf numFmtId="0" fontId="2" fillId="0" borderId="6" xfId="0" applyFont="1" applyBorder="1" applyAlignment="1">
      <alignment horizontal="left" vertical="top" indent="2"/>
    </xf>
    <xf numFmtId="0" fontId="2" fillId="0" borderId="7" xfId="0" applyFont="1" applyBorder="1" applyAlignment="1">
      <alignment horizontal="left" vertical="top" indent="2"/>
    </xf>
    <xf numFmtId="0" fontId="2" fillId="0" borderId="8" xfId="0" applyFont="1" applyBorder="1" applyAlignment="1">
      <alignment horizontal="left" vertical="top" indent="2"/>
    </xf>
    <xf numFmtId="0" fontId="4" fillId="0" borderId="2" xfId="0" applyFont="1" applyBorder="1" applyAlignment="1" applyProtection="1">
      <alignment horizontal="center" vertical="center"/>
      <protection locked="0"/>
    </xf>
    <xf numFmtId="0" fontId="2" fillId="3" borderId="2" xfId="0" applyFont="1" applyFill="1" applyBorder="1" applyAlignment="1" applyProtection="1">
      <alignment horizontal="center" vertical="center"/>
      <protection locked="0"/>
    </xf>
    <xf numFmtId="0" fontId="2" fillId="3" borderId="4" xfId="0" applyFont="1" applyFill="1" applyBorder="1" applyAlignment="1" applyProtection="1">
      <alignment horizontal="center" vertical="center"/>
      <protection locked="0"/>
    </xf>
    <xf numFmtId="0" fontId="2" fillId="3" borderId="3" xfId="0" applyFont="1" applyFill="1" applyBorder="1" applyAlignment="1" applyProtection="1">
      <alignment horizontal="center" vertical="center"/>
      <protection locked="0"/>
    </xf>
    <xf numFmtId="0" fontId="4" fillId="0" borderId="4" xfId="0" applyFont="1" applyBorder="1" applyAlignment="1">
      <alignment horizontal="left" vertical="center" indent="2"/>
    </xf>
    <xf numFmtId="0" fontId="4" fillId="0" borderId="3" xfId="0" applyFont="1" applyBorder="1" applyAlignment="1">
      <alignment horizontal="left" vertical="center" indent="2"/>
    </xf>
    <xf numFmtId="165" fontId="4" fillId="0" borderId="4" xfId="0" applyNumberFormat="1" applyFont="1" applyBorder="1" applyAlignment="1">
      <alignment horizontal="center" vertical="center"/>
    </xf>
    <xf numFmtId="165" fontId="4" fillId="0" borderId="3" xfId="0" applyNumberFormat="1"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2" fillId="2" borderId="4" xfId="0" applyFont="1" applyFill="1" applyBorder="1" applyAlignment="1">
      <alignment horizontal="left" vertical="top" indent="2"/>
    </xf>
    <xf numFmtId="0" fontId="4" fillId="0" borderId="0" xfId="0" applyFont="1" applyAlignment="1">
      <alignment horizontal="left" vertical="center" indent="2"/>
    </xf>
    <xf numFmtId="0" fontId="4" fillId="0" borderId="16" xfId="0" applyFont="1" applyBorder="1" applyAlignment="1">
      <alignment horizontal="left" vertical="center" indent="2"/>
    </xf>
    <xf numFmtId="165" fontId="4" fillId="0" borderId="2" xfId="0" applyNumberFormat="1" applyFont="1" applyBorder="1" applyAlignment="1">
      <alignment horizontal="center" vertical="center" wrapText="1"/>
    </xf>
    <xf numFmtId="165" fontId="4" fillId="0" borderId="3" xfId="0" applyNumberFormat="1" applyFont="1" applyBorder="1" applyAlignment="1">
      <alignment horizontal="center" vertical="center" wrapText="1"/>
    </xf>
    <xf numFmtId="2" fontId="17" fillId="6" borderId="17" xfId="0" applyNumberFormat="1" applyFont="1" applyFill="1" applyBorder="1" applyAlignment="1">
      <alignment horizontal="center"/>
    </xf>
    <xf numFmtId="0" fontId="17" fillId="6" borderId="17" xfId="0" applyFont="1" applyFill="1" applyBorder="1" applyAlignment="1">
      <alignment horizontal="center"/>
    </xf>
    <xf numFmtId="0" fontId="17" fillId="6" borderId="38" xfId="0" applyFont="1" applyFill="1" applyBorder="1" applyAlignment="1">
      <alignment horizontal="center"/>
    </xf>
    <xf numFmtId="0" fontId="26" fillId="6" borderId="17" xfId="0" applyFont="1" applyFill="1" applyBorder="1" applyAlignment="1">
      <alignment horizontal="left" vertical="center"/>
    </xf>
    <xf numFmtId="2" fontId="5" fillId="0" borderId="17" xfId="1" applyNumberFormat="1" applyFont="1" applyBorder="1" applyAlignment="1">
      <alignment horizontal="center" vertical="center"/>
    </xf>
    <xf numFmtId="0" fontId="7" fillId="7" borderId="27" xfId="0" applyFont="1" applyFill="1" applyBorder="1" applyAlignment="1">
      <alignment horizontal="center" vertical="center" wrapText="1"/>
    </xf>
    <xf numFmtId="0" fontId="7" fillId="7" borderId="24" xfId="0" applyFont="1" applyFill="1" applyBorder="1" applyAlignment="1">
      <alignment horizontal="center" vertical="center" wrapText="1"/>
    </xf>
    <xf numFmtId="0" fontId="21" fillId="6" borderId="20" xfId="0" applyFont="1" applyFill="1" applyBorder="1" applyAlignment="1">
      <alignment horizontal="center" vertical="center" wrapText="1"/>
    </xf>
    <xf numFmtId="0" fontId="18" fillId="6" borderId="17" xfId="0" applyFont="1" applyFill="1" applyBorder="1" applyAlignment="1">
      <alignment horizontal="center" vertical="center"/>
    </xf>
    <xf numFmtId="0" fontId="18" fillId="6" borderId="19" xfId="0" applyFont="1" applyFill="1" applyBorder="1" applyAlignment="1">
      <alignment horizontal="center" vertical="center"/>
    </xf>
    <xf numFmtId="9" fontId="6" fillId="4" borderId="21" xfId="1" applyFont="1" applyFill="1" applyBorder="1" applyAlignment="1">
      <alignment horizontal="left" vertical="center" wrapText="1"/>
    </xf>
    <xf numFmtId="9" fontId="8" fillId="4" borderId="21" xfId="1" applyFont="1" applyFill="1" applyBorder="1" applyAlignment="1">
      <alignment horizontal="left" vertical="center" wrapText="1"/>
    </xf>
    <xf numFmtId="0" fontId="9" fillId="0" borderId="17" xfId="0" applyFont="1" applyBorder="1" applyAlignment="1">
      <alignment horizontal="left" vertical="center"/>
    </xf>
    <xf numFmtId="0" fontId="26" fillId="6" borderId="21" xfId="0" applyFont="1" applyFill="1" applyBorder="1" applyAlignment="1">
      <alignment horizontal="left" vertical="center"/>
    </xf>
    <xf numFmtId="0" fontId="7" fillId="7" borderId="18" xfId="0" applyFont="1" applyFill="1" applyBorder="1" applyAlignment="1">
      <alignment horizontal="center" vertical="center" wrapText="1"/>
    </xf>
    <xf numFmtId="0" fontId="20" fillId="6" borderId="21" xfId="0" applyFont="1" applyFill="1" applyBorder="1" applyAlignment="1">
      <alignment horizontal="center" vertical="center" textRotation="90"/>
    </xf>
    <xf numFmtId="0" fontId="20" fillId="6" borderId="17" xfId="0" applyFont="1" applyFill="1" applyBorder="1" applyAlignment="1">
      <alignment horizontal="center" vertical="center" textRotation="90"/>
    </xf>
    <xf numFmtId="0" fontId="20" fillId="6" borderId="20" xfId="0" applyFont="1" applyFill="1" applyBorder="1" applyAlignment="1">
      <alignment horizontal="center" vertical="center" textRotation="90"/>
    </xf>
    <xf numFmtId="0" fontId="7" fillId="7" borderId="25" xfId="0" applyFont="1" applyFill="1" applyBorder="1" applyAlignment="1">
      <alignment horizontal="center" vertical="center" wrapText="1"/>
    </xf>
    <xf numFmtId="0" fontId="7" fillId="7" borderId="22" xfId="0" applyFont="1" applyFill="1" applyBorder="1" applyAlignment="1">
      <alignment horizontal="center" vertical="center" wrapText="1"/>
    </xf>
    <xf numFmtId="0" fontId="7" fillId="7" borderId="23" xfId="0" applyFont="1" applyFill="1" applyBorder="1" applyAlignment="1">
      <alignment horizontal="center" vertical="center" wrapText="1"/>
    </xf>
    <xf numFmtId="0" fontId="19" fillId="6" borderId="20" xfId="0" applyFont="1" applyFill="1" applyBorder="1" applyAlignment="1">
      <alignment horizontal="center" vertical="center" wrapText="1"/>
    </xf>
    <xf numFmtId="2" fontId="0" fillId="0" borderId="0" xfId="0" applyNumberFormat="1" applyAlignment="1">
      <alignment horizontal="center"/>
    </xf>
    <xf numFmtId="0" fontId="0" fillId="0" borderId="0" xfId="0" applyAlignment="1">
      <alignment horizontal="center"/>
    </xf>
    <xf numFmtId="0" fontId="15" fillId="0" borderId="0" xfId="0" applyFont="1" applyAlignment="1">
      <alignment horizontal="left" vertical="center"/>
    </xf>
    <xf numFmtId="0" fontId="20" fillId="6" borderId="28" xfId="0" applyFont="1" applyFill="1" applyBorder="1" applyAlignment="1">
      <alignment horizontal="center" vertical="center" textRotation="90"/>
    </xf>
    <xf numFmtId="0" fontId="7" fillId="7" borderId="26" xfId="0" applyFont="1" applyFill="1" applyBorder="1" applyAlignment="1">
      <alignment horizontal="center" vertical="center" wrapText="1"/>
    </xf>
    <xf numFmtId="0" fontId="19" fillId="6" borderId="31" xfId="0" applyFont="1" applyFill="1" applyBorder="1" applyAlignment="1">
      <alignment horizontal="center" vertical="center" wrapText="1"/>
    </xf>
    <xf numFmtId="0" fontId="19" fillId="6" borderId="32" xfId="0" applyFont="1" applyFill="1" applyBorder="1" applyAlignment="1">
      <alignment horizontal="center" vertical="center" wrapText="1"/>
    </xf>
  </cellXfs>
  <cellStyles count="3">
    <cellStyle name="Estilo 1" xfId="2" xr:uid="{78CB1127-0E05-4CE5-A2A2-9407E42CCDEF}"/>
    <cellStyle name="Normal" xfId="0" builtinId="0"/>
    <cellStyle name="Porcentagem" xfId="1" builtinId="5"/>
  </cellStyles>
  <dxfs count="0"/>
  <tableStyles count="0" defaultTableStyle="TableStyleMedium2" defaultPivotStyle="PivotStyleLight16"/>
  <colors>
    <mruColors>
      <color rgb="FF595959"/>
      <color rgb="FF33CCCC"/>
      <color rgb="FFDCE6F1"/>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362144</xdr:colOff>
      <xdr:row>1</xdr:row>
      <xdr:rowOff>35891</xdr:rowOff>
    </xdr:from>
    <xdr:to>
      <xdr:col>12</xdr:col>
      <xdr:colOff>2766492</xdr:colOff>
      <xdr:row>1</xdr:row>
      <xdr:rowOff>1174414</xdr:rowOff>
    </xdr:to>
    <xdr:pic>
      <xdr:nvPicPr>
        <xdr:cNvPr id="10" name="Image 1">
          <a:extLst>
            <a:ext uri="{FF2B5EF4-FFF2-40B4-BE49-F238E27FC236}">
              <a16:creationId xmlns:a16="http://schemas.microsoft.com/office/drawing/2014/main" id="{B459E5AE-8B0C-461C-B7BE-03AA12936BD5}"/>
            </a:ext>
          </a:extLst>
        </xdr:cNvPr>
        <xdr:cNvPicPr>
          <a:picLocks noChangeAspect="1"/>
        </xdr:cNvPicPr>
      </xdr:nvPicPr>
      <xdr:blipFill>
        <a:blip xmlns:r="http://schemas.openxmlformats.org/officeDocument/2006/relationships" r:embed="rId1"/>
        <a:stretch>
          <a:fillRect/>
        </a:stretch>
      </xdr:blipFill>
      <xdr:spPr>
        <a:xfrm>
          <a:off x="19412144" y="210516"/>
          <a:ext cx="4071223" cy="1138523"/>
        </a:xfrm>
        <a:prstGeom prst="rect">
          <a:avLst/>
        </a:prstGeom>
      </xdr:spPr>
    </xdr:pic>
    <xdr:clientData/>
  </xdr:twoCellAnchor>
  <xdr:twoCellAnchor editAs="oneCell">
    <xdr:from>
      <xdr:col>13</xdr:col>
      <xdr:colOff>69021</xdr:colOff>
      <xdr:row>1</xdr:row>
      <xdr:rowOff>179457</xdr:rowOff>
    </xdr:from>
    <xdr:to>
      <xdr:col>13</xdr:col>
      <xdr:colOff>3692966</xdr:colOff>
      <xdr:row>7</xdr:row>
      <xdr:rowOff>290920</xdr:rowOff>
    </xdr:to>
    <xdr:pic>
      <xdr:nvPicPr>
        <xdr:cNvPr id="18" name="Imagem 17" descr="Diagrama&#10;&#10;Descrição gerada automaticamente">
          <a:extLst>
            <a:ext uri="{FF2B5EF4-FFF2-40B4-BE49-F238E27FC236}">
              <a16:creationId xmlns:a16="http://schemas.microsoft.com/office/drawing/2014/main" id="{3822911B-D93C-4BF8-BEC5-FBCF3113D009}"/>
            </a:ext>
          </a:extLst>
        </xdr:cNvPr>
        <xdr:cNvPicPr>
          <a:picLocks noChangeAspect="1"/>
        </xdr:cNvPicPr>
      </xdr:nvPicPr>
      <xdr:blipFill rotWithShape="1">
        <a:blip xmlns:r="http://schemas.openxmlformats.org/officeDocument/2006/relationships" r:embed="rId2"/>
        <a:srcRect l="18196" r="21354"/>
        <a:stretch/>
      </xdr:blipFill>
      <xdr:spPr>
        <a:xfrm>
          <a:off x="20775543" y="179457"/>
          <a:ext cx="3623945" cy="33478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57727</xdr:colOff>
      <xdr:row>1</xdr:row>
      <xdr:rowOff>63500</xdr:rowOff>
    </xdr:from>
    <xdr:to>
      <xdr:col>14</xdr:col>
      <xdr:colOff>43133</xdr:colOff>
      <xdr:row>1</xdr:row>
      <xdr:rowOff>1116850</xdr:rowOff>
    </xdr:to>
    <xdr:pic>
      <xdr:nvPicPr>
        <xdr:cNvPr id="2" name="Image 1">
          <a:extLst>
            <a:ext uri="{FF2B5EF4-FFF2-40B4-BE49-F238E27FC236}">
              <a16:creationId xmlns:a16="http://schemas.microsoft.com/office/drawing/2014/main" id="{A70DE982-0020-42A2-84FD-526DE4BD13C5}"/>
            </a:ext>
          </a:extLst>
        </xdr:cNvPr>
        <xdr:cNvPicPr>
          <a:picLocks noChangeAspect="1"/>
        </xdr:cNvPicPr>
      </xdr:nvPicPr>
      <xdr:blipFill>
        <a:blip xmlns:r="http://schemas.openxmlformats.org/officeDocument/2006/relationships" r:embed="rId1"/>
        <a:stretch>
          <a:fillRect/>
        </a:stretch>
      </xdr:blipFill>
      <xdr:spPr>
        <a:xfrm>
          <a:off x="23460652" y="168275"/>
          <a:ext cx="3881131" cy="1053350"/>
        </a:xfrm>
        <a:prstGeom prst="rect">
          <a:avLst/>
        </a:prstGeom>
      </xdr:spPr>
    </xdr:pic>
    <xdr:clientData/>
  </xdr:twoCellAnchor>
  <xdr:oneCellAnchor>
    <xdr:from>
      <xdr:col>6</xdr:col>
      <xdr:colOff>1587500</xdr:colOff>
      <xdr:row>9</xdr:row>
      <xdr:rowOff>894772</xdr:rowOff>
    </xdr:from>
    <xdr:ext cx="184731" cy="264560"/>
    <xdr:sp macro="" textlink="">
      <xdr:nvSpPr>
        <xdr:cNvPr id="3" name="CaixaDeTexto 2">
          <a:extLst>
            <a:ext uri="{FF2B5EF4-FFF2-40B4-BE49-F238E27FC236}">
              <a16:creationId xmlns:a16="http://schemas.microsoft.com/office/drawing/2014/main" id="{A8877756-BAF4-4814-A927-AE49E3E5060A}"/>
            </a:ext>
          </a:extLst>
        </xdr:cNvPr>
        <xdr:cNvSpPr txBox="1"/>
      </xdr:nvSpPr>
      <xdr:spPr>
        <a:xfrm>
          <a:off x="10198100" y="47809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11</xdr:col>
      <xdr:colOff>57727</xdr:colOff>
      <xdr:row>1</xdr:row>
      <xdr:rowOff>63500</xdr:rowOff>
    </xdr:from>
    <xdr:to>
      <xdr:col>14</xdr:col>
      <xdr:colOff>43133</xdr:colOff>
      <xdr:row>1</xdr:row>
      <xdr:rowOff>1116850</xdr:rowOff>
    </xdr:to>
    <xdr:pic>
      <xdr:nvPicPr>
        <xdr:cNvPr id="2" name="Image 1">
          <a:extLst>
            <a:ext uri="{FF2B5EF4-FFF2-40B4-BE49-F238E27FC236}">
              <a16:creationId xmlns:a16="http://schemas.microsoft.com/office/drawing/2014/main" id="{BFE0617D-E11F-4DCD-92F2-11C651470B53}"/>
            </a:ext>
          </a:extLst>
        </xdr:cNvPr>
        <xdr:cNvPicPr>
          <a:picLocks noChangeAspect="1"/>
        </xdr:cNvPicPr>
      </xdr:nvPicPr>
      <xdr:blipFill>
        <a:blip xmlns:r="http://schemas.openxmlformats.org/officeDocument/2006/relationships" r:embed="rId1"/>
        <a:stretch>
          <a:fillRect/>
        </a:stretch>
      </xdr:blipFill>
      <xdr:spPr>
        <a:xfrm>
          <a:off x="23460652" y="168275"/>
          <a:ext cx="3881131" cy="1053350"/>
        </a:xfrm>
        <a:prstGeom prst="rect">
          <a:avLst/>
        </a:prstGeom>
      </xdr:spPr>
    </xdr:pic>
    <xdr:clientData/>
  </xdr:twoCellAnchor>
  <xdr:oneCellAnchor>
    <xdr:from>
      <xdr:col>6</xdr:col>
      <xdr:colOff>1587500</xdr:colOff>
      <xdr:row>9</xdr:row>
      <xdr:rowOff>894772</xdr:rowOff>
    </xdr:from>
    <xdr:ext cx="184731" cy="264560"/>
    <xdr:sp macro="" textlink="">
      <xdr:nvSpPr>
        <xdr:cNvPr id="3" name="CaixaDeTexto 2">
          <a:extLst>
            <a:ext uri="{FF2B5EF4-FFF2-40B4-BE49-F238E27FC236}">
              <a16:creationId xmlns:a16="http://schemas.microsoft.com/office/drawing/2014/main" id="{67D872A9-8ABC-4B77-BAEA-3D35B7C6F753}"/>
            </a:ext>
          </a:extLst>
        </xdr:cNvPr>
        <xdr:cNvSpPr txBox="1"/>
      </xdr:nvSpPr>
      <xdr:spPr>
        <a:xfrm>
          <a:off x="10198100" y="47809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11</xdr:col>
      <xdr:colOff>57727</xdr:colOff>
      <xdr:row>1</xdr:row>
      <xdr:rowOff>63500</xdr:rowOff>
    </xdr:from>
    <xdr:to>
      <xdr:col>14</xdr:col>
      <xdr:colOff>43133</xdr:colOff>
      <xdr:row>1</xdr:row>
      <xdr:rowOff>1116850</xdr:rowOff>
    </xdr:to>
    <xdr:pic>
      <xdr:nvPicPr>
        <xdr:cNvPr id="2" name="Image 1">
          <a:extLst>
            <a:ext uri="{FF2B5EF4-FFF2-40B4-BE49-F238E27FC236}">
              <a16:creationId xmlns:a16="http://schemas.microsoft.com/office/drawing/2014/main" id="{C3828944-175A-4BF2-9EDD-472D7230EF60}"/>
            </a:ext>
          </a:extLst>
        </xdr:cNvPr>
        <xdr:cNvPicPr>
          <a:picLocks noChangeAspect="1"/>
        </xdr:cNvPicPr>
      </xdr:nvPicPr>
      <xdr:blipFill>
        <a:blip xmlns:r="http://schemas.openxmlformats.org/officeDocument/2006/relationships" r:embed="rId1"/>
        <a:stretch>
          <a:fillRect/>
        </a:stretch>
      </xdr:blipFill>
      <xdr:spPr>
        <a:xfrm>
          <a:off x="23460652" y="168275"/>
          <a:ext cx="3881131" cy="1053350"/>
        </a:xfrm>
        <a:prstGeom prst="rect">
          <a:avLst/>
        </a:prstGeom>
      </xdr:spPr>
    </xdr:pic>
    <xdr:clientData/>
  </xdr:twoCellAnchor>
  <xdr:oneCellAnchor>
    <xdr:from>
      <xdr:col>6</xdr:col>
      <xdr:colOff>1587500</xdr:colOff>
      <xdr:row>9</xdr:row>
      <xdr:rowOff>894772</xdr:rowOff>
    </xdr:from>
    <xdr:ext cx="184731" cy="264560"/>
    <xdr:sp macro="" textlink="">
      <xdr:nvSpPr>
        <xdr:cNvPr id="3" name="CaixaDeTexto 2">
          <a:extLst>
            <a:ext uri="{FF2B5EF4-FFF2-40B4-BE49-F238E27FC236}">
              <a16:creationId xmlns:a16="http://schemas.microsoft.com/office/drawing/2014/main" id="{8FBBF6D3-2608-4620-9083-5434E7C68F1A}"/>
            </a:ext>
          </a:extLst>
        </xdr:cNvPr>
        <xdr:cNvSpPr txBox="1"/>
      </xdr:nvSpPr>
      <xdr:spPr>
        <a:xfrm>
          <a:off x="10198100" y="47809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11</xdr:col>
      <xdr:colOff>57727</xdr:colOff>
      <xdr:row>1</xdr:row>
      <xdr:rowOff>63500</xdr:rowOff>
    </xdr:from>
    <xdr:to>
      <xdr:col>14</xdr:col>
      <xdr:colOff>43133</xdr:colOff>
      <xdr:row>1</xdr:row>
      <xdr:rowOff>1116850</xdr:rowOff>
    </xdr:to>
    <xdr:pic>
      <xdr:nvPicPr>
        <xdr:cNvPr id="2" name="Image 1">
          <a:extLst>
            <a:ext uri="{FF2B5EF4-FFF2-40B4-BE49-F238E27FC236}">
              <a16:creationId xmlns:a16="http://schemas.microsoft.com/office/drawing/2014/main" id="{AE17BF67-6500-49AA-BCFD-8460406F327A}"/>
            </a:ext>
          </a:extLst>
        </xdr:cNvPr>
        <xdr:cNvPicPr>
          <a:picLocks noChangeAspect="1"/>
        </xdr:cNvPicPr>
      </xdr:nvPicPr>
      <xdr:blipFill>
        <a:blip xmlns:r="http://schemas.openxmlformats.org/officeDocument/2006/relationships" r:embed="rId1"/>
        <a:stretch>
          <a:fillRect/>
        </a:stretch>
      </xdr:blipFill>
      <xdr:spPr>
        <a:xfrm>
          <a:off x="23460652" y="168275"/>
          <a:ext cx="3881131" cy="1053350"/>
        </a:xfrm>
        <a:prstGeom prst="rect">
          <a:avLst/>
        </a:prstGeom>
      </xdr:spPr>
    </xdr:pic>
    <xdr:clientData/>
  </xdr:twoCellAnchor>
  <xdr:oneCellAnchor>
    <xdr:from>
      <xdr:col>6</xdr:col>
      <xdr:colOff>1587500</xdr:colOff>
      <xdr:row>9</xdr:row>
      <xdr:rowOff>894772</xdr:rowOff>
    </xdr:from>
    <xdr:ext cx="184731" cy="264560"/>
    <xdr:sp macro="" textlink="">
      <xdr:nvSpPr>
        <xdr:cNvPr id="3" name="CaixaDeTexto 2">
          <a:extLst>
            <a:ext uri="{FF2B5EF4-FFF2-40B4-BE49-F238E27FC236}">
              <a16:creationId xmlns:a16="http://schemas.microsoft.com/office/drawing/2014/main" id="{C2790183-6DE6-412A-928E-9BC98B7BD0C5}"/>
            </a:ext>
          </a:extLst>
        </xdr:cNvPr>
        <xdr:cNvSpPr txBox="1"/>
      </xdr:nvSpPr>
      <xdr:spPr>
        <a:xfrm>
          <a:off x="10198100" y="47809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11</xdr:col>
      <xdr:colOff>57727</xdr:colOff>
      <xdr:row>1</xdr:row>
      <xdr:rowOff>63500</xdr:rowOff>
    </xdr:from>
    <xdr:to>
      <xdr:col>14</xdr:col>
      <xdr:colOff>43133</xdr:colOff>
      <xdr:row>1</xdr:row>
      <xdr:rowOff>1116850</xdr:rowOff>
    </xdr:to>
    <xdr:pic>
      <xdr:nvPicPr>
        <xdr:cNvPr id="2" name="Image 1">
          <a:extLst>
            <a:ext uri="{FF2B5EF4-FFF2-40B4-BE49-F238E27FC236}">
              <a16:creationId xmlns:a16="http://schemas.microsoft.com/office/drawing/2014/main" id="{2947E841-23B7-4359-9509-DA790BE5F876}"/>
            </a:ext>
          </a:extLst>
        </xdr:cNvPr>
        <xdr:cNvPicPr>
          <a:picLocks noChangeAspect="1"/>
        </xdr:cNvPicPr>
      </xdr:nvPicPr>
      <xdr:blipFill>
        <a:blip xmlns:r="http://schemas.openxmlformats.org/officeDocument/2006/relationships" r:embed="rId1"/>
        <a:stretch>
          <a:fillRect/>
        </a:stretch>
      </xdr:blipFill>
      <xdr:spPr>
        <a:xfrm>
          <a:off x="23460652" y="168275"/>
          <a:ext cx="3881131" cy="1053350"/>
        </a:xfrm>
        <a:prstGeom prst="rect">
          <a:avLst/>
        </a:prstGeom>
      </xdr:spPr>
    </xdr:pic>
    <xdr:clientData/>
  </xdr:twoCellAnchor>
  <xdr:oneCellAnchor>
    <xdr:from>
      <xdr:col>6</xdr:col>
      <xdr:colOff>1587500</xdr:colOff>
      <xdr:row>9</xdr:row>
      <xdr:rowOff>894772</xdr:rowOff>
    </xdr:from>
    <xdr:ext cx="184731" cy="264560"/>
    <xdr:sp macro="" textlink="">
      <xdr:nvSpPr>
        <xdr:cNvPr id="3" name="CaixaDeTexto 2">
          <a:extLst>
            <a:ext uri="{FF2B5EF4-FFF2-40B4-BE49-F238E27FC236}">
              <a16:creationId xmlns:a16="http://schemas.microsoft.com/office/drawing/2014/main" id="{E816F976-5E46-4249-A1F8-5C0BE7F7EEE5}"/>
            </a:ext>
          </a:extLst>
        </xdr:cNvPr>
        <xdr:cNvSpPr txBox="1"/>
      </xdr:nvSpPr>
      <xdr:spPr>
        <a:xfrm>
          <a:off x="10198100" y="47809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7</xdr:col>
      <xdr:colOff>500592</xdr:colOff>
      <xdr:row>0</xdr:row>
      <xdr:rowOff>202142</xdr:rowOff>
    </xdr:from>
    <xdr:to>
      <xdr:col>13</xdr:col>
      <xdr:colOff>28951</xdr:colOff>
      <xdr:row>0</xdr:row>
      <xdr:rowOff>1255492</xdr:rowOff>
    </xdr:to>
    <xdr:pic>
      <xdr:nvPicPr>
        <xdr:cNvPr id="15" name="Image 1">
          <a:extLst>
            <a:ext uri="{FF2B5EF4-FFF2-40B4-BE49-F238E27FC236}">
              <a16:creationId xmlns:a16="http://schemas.microsoft.com/office/drawing/2014/main" id="{663CF524-26D9-4342-8E38-DAD1807DE676}"/>
            </a:ext>
          </a:extLst>
        </xdr:cNvPr>
        <xdr:cNvPicPr>
          <a:picLocks noChangeAspect="1"/>
        </xdr:cNvPicPr>
      </xdr:nvPicPr>
      <xdr:blipFill>
        <a:blip xmlns:r="http://schemas.openxmlformats.org/officeDocument/2006/relationships" r:embed="rId1"/>
        <a:stretch>
          <a:fillRect/>
        </a:stretch>
      </xdr:blipFill>
      <xdr:spPr>
        <a:xfrm>
          <a:off x="10448925" y="202142"/>
          <a:ext cx="4068609" cy="1053350"/>
        </a:xfrm>
        <a:prstGeom prst="rect">
          <a:avLst/>
        </a:prstGeom>
      </xdr:spPr>
    </xdr:pic>
    <xdr:clientData/>
  </xdr:twoCellAnchor>
  <xdr:twoCellAnchor>
    <xdr:from>
      <xdr:col>10</xdr:col>
      <xdr:colOff>761999</xdr:colOff>
      <xdr:row>0</xdr:row>
      <xdr:rowOff>1009650</xdr:rowOff>
    </xdr:from>
    <xdr:to>
      <xdr:col>12</xdr:col>
      <xdr:colOff>542925</xdr:colOff>
      <xdr:row>0</xdr:row>
      <xdr:rowOff>1352550</xdr:rowOff>
    </xdr:to>
    <xdr:sp macro="[0]!zero" textlink="">
      <xdr:nvSpPr>
        <xdr:cNvPr id="16" name="Retângulo 15">
          <a:extLst>
            <a:ext uri="{FF2B5EF4-FFF2-40B4-BE49-F238E27FC236}">
              <a16:creationId xmlns:a16="http://schemas.microsoft.com/office/drawing/2014/main" id="{D40C2A07-C9F4-7A66-AFF3-D9FB3128EC87}"/>
            </a:ext>
          </a:extLst>
        </xdr:cNvPr>
        <xdr:cNvSpPr/>
      </xdr:nvSpPr>
      <xdr:spPr>
        <a:xfrm>
          <a:off x="8591549" y="1009650"/>
          <a:ext cx="1371601" cy="3429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100"/>
            <a:t>Auto</a:t>
          </a:r>
          <a:r>
            <a:rPr lang="pt-BR" sz="1100" baseline="0"/>
            <a:t> Preenchimento</a:t>
          </a:r>
          <a:endParaRPr lang="pt-BR" sz="1100"/>
        </a:p>
      </xdr:txBody>
    </xdr:sp>
    <xdr:clientData/>
  </xdr:twoCellAnchor>
</xdr:wsDr>
</file>

<file path=xl/persons/person.xml><?xml version="1.0" encoding="utf-8"?>
<personList xmlns="http://schemas.microsoft.com/office/spreadsheetml/2018/threadedcomments" xmlns:x="http://schemas.openxmlformats.org/spreadsheetml/2006/main">
  <person displayName="Alexsandro Marques Cardoso" id="{F55B749B-2620-407C-9E00-BF53CC765699}" userId="S::alexsandro.cardoso@ap.senai.br::14ca4e92-0dae-43fd-ae2b-2d5797deae68"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8" dT="2025-11-10T12:03:52.64" personId="{F55B749B-2620-407C-9E00-BF53CC765699}" id="{D95C3634-F20A-4888-82F4-2306F99D3D9E}">
    <text xml:space="preserve">Informe aqui a quantidade de Situações de Aprendizagem (SA) trabalhadas durante o curso.
Lembre-se de que o número de SA deve estar alinhado à utilização de todas as capacidades que precisam ser obrigatoriamente desenvolvidas. </text>
  </threadedComment>
  <threadedComment ref="F8" dT="2025-11-10T12:10:12.63" personId="{F55B749B-2620-407C-9E00-BF53CC765699}" id="{38FA18C3-8311-4E8C-893E-DB451EBE8062}">
    <text xml:space="preserve">O número de aulas dadas deve ser calculado de acordo com a carga horária total do curso, considerando:
4 horas por dia para cursos regulares; ou 5 horas e 20 minutos por dia para o Novo Ensino Médio.
Exemplo: Carga Horária Total / 4h, 220/4, 55 dias/aulas.
</text>
  </threadedComment>
  <threadedComment ref="H8" dT="2025-11-07T20:49:31.02" personId="{F55B749B-2620-407C-9E00-BF53CC765699}" id="{9173CC8A-5398-4902-8511-18D669DCA611}">
    <text xml:space="preserve">Hard Skills
No plano de curso, quando a unidade curricular integrar o Módulo Básico ou Introdutório, deverão ser consideradas as capacidades básicas correspondentes.
Já nas unidades curriculares que compõem o Módulo Específico, deve-se indicar a quantidade de capacidades técnicas, apresentando o total de capacidades que serão desenvolvidas ao longo do módulo. </text>
  </threadedComment>
  <threadedComment ref="B11" dT="2025-11-07T20:58:14.10" personId="{F55B749B-2620-407C-9E00-BF53CC765699}" id="{F9FD63FF-EAB0-4B00-AC86-E99E69418FE1}">
    <text xml:space="preserve">Essas capacidades estão relacionadas às chamadas hard skills, que envolvem aspectos técnicos e específicos da área de formação, como o domínio de ferramentas, procedimentos, linguagens e tecnologias </text>
  </threadedComment>
  <threadedComment ref="B44" dT="2025-11-07T20:56:21.28" personId="{F55B749B-2620-407C-9E00-BF53CC765699}" id="{D1ED4BEB-B3F2-4419-B9AB-7B975AA18FCB}">
    <text xml:space="preserve">Essas capacidades estão relacionadas às chamadas soft skills, que envolvem aspectos como comunicação, trabalho em equipe, empatia, responsabilidade, pensamento crítico, proatividade e gestão emocional </text>
  </threadedComment>
</ThreadedComments>
</file>

<file path=xl/threadedComments/threadedComment2.xml><?xml version="1.0" encoding="utf-8"?>
<ThreadedComments xmlns="http://schemas.microsoft.com/office/spreadsheetml/2018/threadedcomments" xmlns:x="http://schemas.openxmlformats.org/spreadsheetml/2006/main">
  <threadedComment ref="B6" dT="2025-11-10T17:57:17.88" personId="{F55B749B-2620-407C-9E00-BF53CC765699}" id="{1A843B97-BE00-4E19-9B7F-AB0D7729A1FD}">
    <text xml:space="preserve">As Estratégias de Aprendizagem Desafiadoras da MSEP
Na Metodologia SENAI de Educação Profissional (MSEP), o desenvolvimento das capacidades do estudante é o centro do processo formativo.
Para isso, o docente precisa escolher estratégias de aprendizagem desafiadoras — situações reais e instigantes que promovem a autonomia, a resolução de problemas e a aplicação prática do conhecimento.
Cada estratégia possui características específicas e deve ser selecionada conforme o tipo de capacidade que se deseja desenvolver.
1. Situação-Problema
O que é:
É uma estratégia que apresenta aos estudantes um problema real ou simulado relacionado ao contexto profissional. O estudante deve analisar as causas, levantar hipóteses e propor soluções viáveis.
Características principais:
Baseia-se em uma situação desafiadora do mundo do trabalho;
Estimula o pensamento crítico, a investigação e a tomada de decisão;
Promove discussões em grupo e trabalho colaborativo;
Desenvolve a capacidade de resolver problemas complexos e inéditos.
Exemplo:
Uma empresa percebe que seus produtos estão apresentando falhas na pintura após o processo de secagem. A turma de Técnico em Eletromecânica deve investigar as possíveis causas (umidade, temperatura do forno, tipo de tinta, etc.) e propor ações corretivas e preventivas para eliminar o defeito.
2. Pesquisa Aplicada
O que é:
É uma estratégia que incentiva o estudante a buscar, analisar e aplicar informações para resolver um problema ou aprimorar um processo.
Valoriza a curiosidade, a autonomia e a investigação científica aplicada ao contexto técnico.
Características principais:
Desenvolve a autonomia intelectual e a capacidade investigativa;
Exige levantamento e análise de dados;
Estimula a busca por inovação e melhoria contínua;
Aproxima a teoria da prática com base em evidências concretas.
Exemplo:
A turma de Refrigeração e Climatização recebe o desafio de propor uma alternativa sustentável para reduzir o consumo de energia em sistemas de refrigeração comercial. Os estudantes realizam pesquisas sobre gases ecológicos e tecnologias de eficiência energética, e elaboram um relatório técnico com proposta viável.
3. Estudo de Caso
O que é:
É uma estratégia que apresenta uma situação real já ocorrida, geralmente documentada em relatórios, vídeos, imagens ou descrições técnicas.
Os estudantes devem analisar o caso, identificar os problemas e discutir as possíveis soluções, comparando diferentes pontos de vista.
Características principais:
Baseia-se em situações reais e documentadas;
Estimula a análise crítica, o julgamento técnico e a argumentação;
Permite discussão e debate de diferentes soluções possíveis;
Desenvolve a capacidade de aplicar conhecimentos teóricos em contextos práticos.
Exemplo:
Os alunos do curso de Segurança do Trabalho recebem um relatório de acidente ocorrido em uma indústria. Após analisar as causas e consequências, devem identificar as falhas nas medidas preventivas e propor ações corretivas baseadas nas normas regulamentadoras (NRs).
4. Projeto / Projeto Integrador
O que é:
É uma estratégia de aprendizagem que propõe o desenvolvimento de um produto, serviço ou processo, desde o planejamento até a execução e avaliação dos resultados.
No Projeto Integrador, diferentes Unidades Curriculares se articulam para desenvolver uma solução interdisciplinar.
Características principais:
Promove integração entre teoria e prática;
Incentiva o trabalho em equipe, o planejamento e a inovação;
Desenvolve autonomia, criatividade e gestão de processos;
Relaciona-se diretamente ao contexto da indústria e às demandas reais do setor produtivo.
Exemplo:
No curso de Edificações, os estudantes desenvolvem um projeto de acessibilidade para uma escola pública, considerando normas técnicas, orçamentos e sustentabilidade. O projeto é apresentado à comunidade escolar e pode ser adaptado para execução real.
</text>
  </threadedComment>
  <threadedComment ref="B9" dT="2025-11-10T17:28:03.97" personId="{F55B749B-2620-407C-9E00-BF53CC765699}" id="{A3434BAD-D14A-4642-BEEF-1248BA388A5D}">
    <text>A contextualização da SA consiste em relacionar os conteúdos e habilidades trabalhados com situações reais do mundo do trabalho, tornando o aprendizado mais significativo e aplicável. Ela permite que o estudante compreenda a utilidade prática do que está aprendendo e desenvolva competências profissionais de forma integrada.
O contexto não pode ser muito abrangente, de modo a levar a um distanciamento dos aspectos realmente importantes, nem tão limitado, a ponto de suprimir informações pertinentes ao desafio.</text>
  </threadedComment>
  <threadedComment ref="D12" dT="2025-11-07T14:37:52.68" personId="{F55B749B-2620-407C-9E00-BF53CC765699}" id="{B93EF800-4E58-4AB9-9C5D-E94530968B87}">
    <text>Capacidades a serem desenvolvidas
O que é:
São as competências práticas, cognitivas e socioemocionais que o aluno deverá desenvolver durante a Situação de Aprendizagem. Essas capacidades estão diretamente relacionadas às habilidades profissionais previstas no curso e orientam o desenvolvimento do “aprender fazendo”.
Como preencher:
Esse campo deve conter somente as capacidades que serão efetivamente mobilizadas para realizar a atividade desafiadora proposta.
A escolha e a redação dessas capacidades devem seguir a progressão evolutiva do processo de ensino-aprendizagem, conforme a Taxonomia de Bloom, que organiza as ações cognitivas em níveis crescentes de complexidade (reconhecer → compreender → aplicar → analisar → avaliar → criar).
Assim, antes de aplicar conhecimentos, o aluno precisa reconhecer ferramentas, equipamentos, fórmulas e procedimentos, evoluindo gradualmente para atividades de maior autonomia e tomada de decisão.</text>
  </threadedComment>
  <threadedComment ref="G12" dT="2025-11-07T14:46:39.98" personId="{F55B749B-2620-407C-9E00-BF53CC765699}" id="{6A97B8D1-9C6C-497C-9403-C83184057A84}">
    <text xml:space="preserve">Conhecimentos
O que é:
São os saberes teóricos, conceituais e procedimentais que o aluno precisa mobilizar para desenvolver as capacidades desafiadas na Situação de Aprendizagem. Esses conhecimentos dão suporte à prática e garantem que o estudante compreenda o porquê e o como de cada ação executada, integrando teoria e prática de forma significativa.
Como preencher:
Devem ser listados apenas os conhecimentos diretamente relacionados às capacidades que serão desenvolvidas na atividade desafiadora proposta.
</text>
  </threadedComment>
  <threadedComment ref="I12" dT="2025-11-07T17:08:20.80" personId="{F55B749B-2620-407C-9E00-BF53CC765699}" id="{45A3E056-7C7C-4D6C-98B7-061046E5F972}">
    <text xml:space="preserve">Desafios
O que é:
São as situações-problema ou atividades desafiadoras que serão propostas para o aluno. Representam o “contexto de trabalho” que estimula o “aprender fazendo”.
Como preencher:
Descreva o desafio de forma prática e contextualizada.
Exemplo:
O aluno deverá identificar as causas prováveis da infiltração e propor uma solução técnica viável e segura, considerando:
as etapas executivas da construção;
os materiais aplicados;
as condições do ambiente;
e o custo-benefício das alternativas.
</text>
  </threadedComment>
  <threadedComment ref="J12" dT="2025-11-07T17:13:22.56" personId="{F55B749B-2620-407C-9E00-BF53CC765699}" id="{A12373D7-B5E7-425D-8E1B-1B3F22A824E3}">
    <text xml:space="preserve">Resultado Esperado
O que é:
É o produto final ou comportamento observável que demonstra que o aluno desenvolveu as capacidades.
Pode ser algo tangível (um relatório, protótipo, conserto, apresentação) ou intangível (comunicação eficaz, tomada de decisão, trabalho em equipe).
Como preencher:
Descreva o que o aluno deverá entregar, demonstrar ou apresentar ao final.
Use indicadores observáveis e coerentes com as capacidades e o desafio.
Exemplo:
Realizar pesquisa aplicada sobre tipos e causas de infiltração;
Fazer análise de um estudo de caso real ou simulado (imagens, relatórios, vídeos da obra);
Propor um plano de intervenção técnica, apresentando a solução escolhida e justificando tecnicamente;
Produzir relatório técnico e apresentar oralmente as conclusões para a turma.
</text>
  </threadedComment>
  <threadedComment ref="K12" dT="2025-11-07T17:19:57.10" personId="{F55B749B-2620-407C-9E00-BF53CC765699}" id="{867B3355-FE53-41C8-B7B3-467B80B1AAA1}">
    <text xml:space="preserve">1. Exposição Dialogada
O que é:
Método em que o professor apresenta conceitos e informações, estimulando a participação ativa dos alunos por meio de perguntas, comentários e reflexões.
Como aplicar:
Utilizar para introduzir novos conhecimentos, contextualizar o desafio e construir entendimento coletivo.
Pode incluir uso de slides, vídeos curtos e discussões guiadas.
Objetivo:
Favorecer a compreensão conceitual e o pensamento crítico sobre o conteúdo apresentado.
2. Atividade Prática
O que é:
Execução de tarefas reais ou simuladas em laboratório, oficina ou ambiente controlado, em que o aluno aplica na prática o que aprendeu.
Como aplicar:
Propor atividades que exijam uso de ferramentas, instrumentos, softwares ou equipamentos, com foco no “aprender fazendo”.
Objetivo:
Desenvolver capacidades técnicas e procedimentais, promovendo a autonomia e a segurança na execução.
3. Trabalho em Grupo
O que é:
Estratégia que estimula a colaboração e o protagonismo entre os alunos, permitindo que construam soluções de forma coletiva.
Como aplicar:
Organizar grupos com papéis definidos (líder, relator, executor etc.), propondo desafios que demandem planejamento, debate e cooperação.
Objetivo:
Desenvolver competências socioemocionais, como comunicação, responsabilidade e empatia.
4. Dinâmica de Grupo
O que é:
Atividade interativa planejada para estimular o engajamento, a integração e a reflexão coletiva.
Como aplicar:
Usar no início da SA para integrar a turma ou durante o processo para refletir sobre atitudes e valores profissionais.
Objetivo:
Fortalecer o trabalho em equipe e a motivação para a aprendizagem.
5. Visita Técnica
O que é:
Vivência em ambiente profissional real, com observação e análise de processos, tecnologias e práticas de trabalho.
Como aplicar:
Planejar previamente os objetivos da visita e orientar os alunos a registrar observações técnicas.
Após a visita, promover uma discussão sobre o que foi aprendido.
Objetivo:
Relacionar teoria e prática, e desenvolver visão crítica sobre o mundo do trabalho.
6. Ensaio Tecnológico
O que é:
Atividade experimental em que os alunos realizam testes, medições e verificações técnicas para avaliar o desempenho de materiais, processos ou equipamentos.
Como aplicar:
Definir um protocolo de ensaio, orientar sobre instrumentos e normas técnicas, e analisar os resultados com a turma.
Objetivo:
Desenvolver raciocínio científico, precisão técnica e interpretação de dados.
7. Workshop
O que é:
Oficina prática e colaborativa voltada à experimentação de técnicas, tecnologias ou metodologias.
Como aplicar:
Organizar sessões curtas e objetivas, com atividades práticas e momentos de socialização dos resultados.
Objetivo:
Favorecer o intercâmbio de experiências e o aprimoramento técnico.
8. Seminário
O que é:
Apresentação oral de temas pelos alunos, seguida de discussão mediada pelo professor.
Como aplicar:
Propor pesquisas orientadas e apresentação dos resultados com base em critérios técnicos e científicos.
Objetivo:
Desenvolver comunicação técnica, autonomia intelectual e capacidade argumentativa.
9. Painel Temático
O que é:
Discussão estruturada de um tema relevante, com participação ativa dos alunos em papéis distintos (expositores, debatedores, mediadores).
Como aplicar:
Usar para aprofundar temas transversais ou analisar diferentes perspectivas sobre um mesmo problema.
Objetivo:
Estimular o pensamento crítico, a análise comparativa e o respeito à diversidade de ideias.
10. Gamificação
O que é:
Uso de elementos de jogos (pontos, missões, desafios, rankings) em contextos educacionais para estimular o engajamento e a motivação.
Como aplicar:
Criar missões ou desafios com recompensas simbólicas, competições saudáveis ou simulações gamificadas.
Objetivo:
Promover aprendizagem lúdica e motivação intrínseca para alcançar os resultados esperados.
11. Sala de Aula Invertida
O que é:
Metodologia em que o aluno estuda os conceitos teóricos antecipadamente (por meio de vídeos, textos, podcasts) e utiliza o tempo em sala para atividades práticas e discussões.
Como aplicar:
Disponibilizar conteúdos prévios, propor um desafio e, em sala, orientar a aplicação prática e resolução de problemas.
Objetivo:
Estimular a autonomia, autogestão da aprendizagem e o pensamento aplicado.
12. Design Thinking
O que é:
Metodologia centrada no ser humano, usada para resolver problemas complexos de forma criativa, colaborativa e empática.
Como aplicar:
Seguir as etapas: empatia → definição do problema → ideação → prototipagem → teste, aplicando-as a um desafio técnico real.
Objetivo:
Desenvolver pensamento criativo, solução de problemas e inovação tecnológica.
</text>
  </threadedComment>
  <threadedComment ref="L12" dT="2025-11-07T17:25:49.20" personId="{F55B749B-2620-407C-9E00-BF53CC765699}" id="{27F423A7-D151-4E64-A5E4-74A9820C765A}">
    <text xml:space="preserve">1. Avaliação
O que é:
Processo contínuo e sistemático que permite verificar o desenvolvimento das capacidades, conhecimentos e atitudes dos alunos.
Como aplicar:
Pode ser diagnóstica (antes da SA), formativa (durante o processo) ou somativa (ao final). Deve estar vinculada aos critérios de desempenho definidos na Situação de Aprendizagem.
Objetivo:
Acompanhar a evolução do aluno e reorientar o processo de ensino e aprendizagem.
2. Fichas de Observação
O que é:
Instrumento utilizado pelo professor para registrar comportamentos, atitudes e desempenhos observáveis durante atividades práticas ou em grupo.
Como aplicar:
Elaborar fichas com critérios objetivos (ex.: organização, uso de ferramentas, cooperação, cumprimento de normas de segurança). Preencher ao longo da execução das atividades.
Objetivo:
Avaliar desempenho prático, postura profissional e atitudes de forma contínua e qualitativa.
3. Relatórios
O que é:
Documento elaborado pelo aluno ou grupo com a descrição técnica e analítica das atividades realizadas, resultados obtidos e conclusões.
Como aplicar:
Solicitar relatórios após ensaios, visitas técnicas, projetos ou experimentos, orientando a estrutura (introdução, desenvolvimento, análise e conclusão).
Objetivo:
Desenvolver comunicação técnica escrita, interpretação de resultados e capacidade reflexiva.
4. Portfólios
O que é:
Coletânea de evidências (relatórios, registros fotográficos, anotações, produtos e reflexões) que mostram a evolução do aprendizado ao longo do tempo.
Como aplicar:
Organizar os materiais por etapas ou Situações de Aprendizagem, incentivando o aluno a registrar seu progresso e autocrítica.
Objetivo:
Valorizar o processo de aprendizagem e não apenas o resultado final.
5. Provas Objetivas
O que é:
Instrumento composto por questões de múltipla escolha, verdadeiro ou falso, associação ou lacunas, com respostas previamente determinadas.
Como aplicar:
Utilizar para verificar assimilação conceitual e terminológica, especialmente em conteúdos teóricos ou de base técnica.
Objetivo:
Mensurar conhecimento factual e conceitual de forma rápida e padronizada.
6. Provas de Respostas Construídas
O que é:
Instrumento em que o aluno deve redigir respostas, justificar raciocínios ou propor soluções com base em situações-problema.
Como aplicar:
Apresentar questões abertas que exijam interpretação, argumentação e aplicação de conceitos técnicos.
Objetivo:
Avaliar raciocínio lógico, pensamento crítico e capacidade de resolver problemas.
7. Provas Práticas
O que é:
Avaliações realizadas em ambiente prático (laboratório, oficina ou campo), onde o aluno executa procedimentos técnicos e demonstra suas competências.
Como aplicar:
Definir tarefas ou desafios reais, com critérios de avaliação claros (execução correta, tempo, qualidade, segurança, organização).
Objetivo:
Comprovar domínio técnico e procedimental do aluno em situações reais de trabalho.
8. Autoavaliações
O que é:
Instrumento em que o aluno reflete sobre o próprio desempenho, identificando avanços, dificuldades e metas pessoais de aprendizagem.
Como aplicar:
Aplicar ao final da SA ou de cada etapa, com perguntas orientadoras (ex.: “O que aprendi?”, “Em que posso melhorar?”, “Como me senti durante a atividade?”).
Objetivo:
Promover autonomia, autocrítica e responsabilidade pelo próprio aprendizado.
</text>
  </threadedComment>
</ThreadedComments>
</file>

<file path=xl/threadedComments/threadedComment3.xml><?xml version="1.0" encoding="utf-8"?>
<ThreadedComments xmlns="http://schemas.microsoft.com/office/spreadsheetml/2018/threadedcomments" xmlns:x="http://schemas.openxmlformats.org/spreadsheetml/2006/main">
  <threadedComment ref="B6" dT="2025-11-10T17:57:17.88" personId="{F55B749B-2620-407C-9E00-BF53CC765699}" id="{839C17A8-6FEC-42F8-B7F4-2F8EE2C8B64B}">
    <text xml:space="preserve">As Estratégias de Aprendizagem Desafiadoras da MSEP
Na Metodologia SENAI de Educação Profissional (MSEP), o desenvolvimento das capacidades do estudante é o centro do processo formativo.
Para isso, o docente precisa escolher estratégias de aprendizagem desafiadoras — situações reais e instigantes que promovem a autonomia, a resolução de problemas e a aplicação prática do conhecimento.
Cada estratégia possui características específicas e deve ser selecionada conforme o tipo de capacidade que se deseja desenvolver.
1. Situação-Problema
O que é:
É uma estratégia que apresenta aos estudantes um problema real ou simulado relacionado ao contexto profissional. O estudante deve analisar as causas, levantar hipóteses e propor soluções viáveis.
Características principais:
Baseia-se em uma situação desafiadora do mundo do trabalho;
Estimula o pensamento crítico, a investigação e a tomada de decisão;
Promove discussões em grupo e trabalho colaborativo;
Desenvolve a capacidade de resolver problemas complexos e inéditos.
Exemplo:
Uma empresa percebe que seus produtos estão apresentando falhas na pintura após o processo de secagem. A turma de Técnico em Eletromecânica deve investigar as possíveis causas (umidade, temperatura do forno, tipo de tinta, etc.) e propor ações corretivas e preventivas para eliminar o defeito.
2. Pesquisa Aplicada
O que é:
É uma estratégia que incentiva o estudante a buscar, analisar e aplicar informações para resolver um problema ou aprimorar um processo.
Valoriza a curiosidade, a autonomia e a investigação científica aplicada ao contexto técnico.
Características principais:
Desenvolve a autonomia intelectual e a capacidade investigativa;
Exige levantamento e análise de dados;
Estimula a busca por inovação e melhoria contínua;
Aproxima a teoria da prática com base em evidências concretas.
Exemplo:
A turma de Refrigeração e Climatização recebe o desafio de propor uma alternativa sustentável para reduzir o consumo de energia em sistemas de refrigeração comercial. Os estudantes realizam pesquisas sobre gases ecológicos e tecnologias de eficiência energética, e elaboram um relatório técnico com proposta viável.
3. Estudo de Caso
O que é:
É uma estratégia que apresenta uma situação real já ocorrida, geralmente documentada em relatórios, vídeos, imagens ou descrições técnicas.
Os estudantes devem analisar o caso, identificar os problemas e discutir as possíveis soluções, comparando diferentes pontos de vista.
Características principais:
Baseia-se em situações reais e documentadas;
Estimula a análise crítica, o julgamento técnico e a argumentação;
Permite discussão e debate de diferentes soluções possíveis;
Desenvolve a capacidade de aplicar conhecimentos teóricos em contextos práticos.
Exemplo:
Os alunos do curso de Segurança do Trabalho recebem um relatório de acidente ocorrido em uma indústria. Após analisar as causas e consequências, devem identificar as falhas nas medidas preventivas e propor ações corretivas baseadas nas normas regulamentadoras (NRs).
4. Projeto / Projeto Integrador
O que é:
É uma estratégia de aprendizagem que propõe o desenvolvimento de um produto, serviço ou processo, desde o planejamento até a execução e avaliação dos resultados.
No Projeto Integrador, diferentes Unidades Curriculares se articulam para desenvolver uma solução interdisciplinar.
Características principais:
Promove integração entre teoria e prática;
Incentiva o trabalho em equipe, o planejamento e a inovação;
Desenvolve autonomia, criatividade e gestão de processos;
Relaciona-se diretamente ao contexto da indústria e às demandas reais do setor produtivo.
Exemplo:
No curso de Edificações, os estudantes desenvolvem um projeto de acessibilidade para uma escola pública, considerando normas técnicas, orçamentos e sustentabilidade. O projeto é apresentado à comunidade escolar e pode ser adaptado para execução real.
</text>
  </threadedComment>
  <threadedComment ref="B9" dT="2025-11-10T17:28:03.97" personId="{F55B749B-2620-407C-9E00-BF53CC765699}" id="{C69133F9-99FB-4CF4-BA1F-080ECEF391B2}">
    <text>A contextualização da SA consiste em relacionar os conteúdos e habilidades trabalhados com situações reais do mundo do trabalho, tornando o aprendizado mais significativo e aplicável. Ela permite que o estudante compreenda a utilidade prática do que está aprendendo e desenvolva competências profissionais de forma integrada.
O contexto não pode ser muito abrangente, de modo a levar a um distanciamento dos aspectos realmente importantes, nem tão limitado, a ponto de suprimir informações pertinentes ao desafio.</text>
  </threadedComment>
  <threadedComment ref="D12" dT="2025-11-07T14:37:52.68" personId="{F55B749B-2620-407C-9E00-BF53CC765699}" id="{4C3878C1-9D6E-430D-992B-C406F4B1F4FB}">
    <text>Capacidades a serem desenvolvidas
O que é:
São as competências práticas, cognitivas e socioemocionais que o aluno deverá desenvolver durante a Situação de Aprendizagem. Essas capacidades estão diretamente relacionadas às habilidades profissionais previstas no curso e orientam o desenvolvimento do “aprender fazendo”.
Como preencher:
Esse campo deve conter somente as capacidades que serão efetivamente mobilizadas para realizar a atividade desafiadora proposta.
A escolha e a redação dessas capacidades devem seguir a progressão evolutiva do processo de ensino-aprendizagem, conforme a Taxonomia de Bloom, que organiza as ações cognitivas em níveis crescentes de complexidade (reconhecer → compreender → aplicar → analisar → avaliar → criar).
Assim, antes de aplicar conhecimentos, o aluno precisa reconhecer ferramentas, equipamentos, fórmulas e procedimentos, evoluindo gradualmente para atividades de maior autonomia e tomada de decisão.</text>
  </threadedComment>
  <threadedComment ref="G12" dT="2025-11-07T14:46:39.98" personId="{F55B749B-2620-407C-9E00-BF53CC765699}" id="{7CEEA2AD-3F63-48A9-97BE-B1FA224CD99D}">
    <text xml:space="preserve">Conhecimentos
O que é:
São os saberes teóricos, conceituais e procedimentais que o aluno precisa mobilizar para desenvolver as capacidades desafiadas na Situação de Aprendizagem. Esses conhecimentos dão suporte à prática e garantem que o estudante compreenda o porquê e o como de cada ação executada, integrando teoria e prática de forma significativa.
Como preencher:
Devem ser listados apenas os conhecimentos diretamente relacionados às capacidades que serão desenvolvidas na atividade desafiadora proposta.
</text>
  </threadedComment>
  <threadedComment ref="I12" dT="2025-11-07T17:08:20.80" personId="{F55B749B-2620-407C-9E00-BF53CC765699}" id="{E0DB0CD8-95DD-4E68-B0A9-F704F52A2EE3}">
    <text xml:space="preserve">Desafios
O que é:
São as situações-problema ou atividades desafiadoras que serão propostas para o aluno. Representam o “contexto de trabalho” que estimula o “aprender fazendo”.
Como preencher:
Descreva o desafio de forma prática e contextualizada.
Exemplo:
O aluno deverá identificar as causas prováveis da infiltração e propor uma solução técnica viável e segura, considerando:
as etapas executivas da construção;
os materiais aplicados;
as condições do ambiente;
e o custo-benefício das alternativas.
</text>
  </threadedComment>
  <threadedComment ref="J12" dT="2025-11-07T17:13:22.56" personId="{F55B749B-2620-407C-9E00-BF53CC765699}" id="{9C44A52B-1A26-45D6-9755-049CAF7475CF}">
    <text xml:space="preserve">Resultado Esperado
O que é:
É o produto final ou comportamento observável que demonstra que o aluno desenvolveu as capacidades.
Pode ser algo tangível (um relatório, protótipo, conserto, apresentação) ou intangível (comunicação eficaz, tomada de decisão, trabalho em equipe).
Como preencher:
Descreva o que o aluno deverá entregar, demonstrar ou apresentar ao final.
Use indicadores observáveis e coerentes com as capacidades e o desafio.
Exemplo:
Realizar pesquisa aplicada sobre tipos e causas de infiltração;
Fazer análise de um estudo de caso real ou simulado (imagens, relatórios, vídeos da obra);
Propor um plano de intervenção técnica, apresentando a solução escolhida e justificando tecnicamente;
Produzir relatório técnico e apresentar oralmente as conclusões para a turma.
</text>
  </threadedComment>
  <threadedComment ref="K12" dT="2025-11-07T17:19:57.10" personId="{F55B749B-2620-407C-9E00-BF53CC765699}" id="{BD751FDC-DA3A-427F-8E62-1BD6E46F2098}">
    <text xml:space="preserve">1. Exposição Dialogada
O que é:
Método em que o professor apresenta conceitos e informações, estimulando a participação ativa dos alunos por meio de perguntas, comentários e reflexões.
Como aplicar:
Utilizar para introduzir novos conhecimentos, contextualizar o desafio e construir entendimento coletivo.
Pode incluir uso de slides, vídeos curtos e discussões guiadas.
Objetivo:
Favorecer a compreensão conceitual e o pensamento crítico sobre o conteúdo apresentado.
2. Atividade Prática
O que é:
Execução de tarefas reais ou simuladas em laboratório, oficina ou ambiente controlado, em que o aluno aplica na prática o que aprendeu.
Como aplicar:
Propor atividades que exijam uso de ferramentas, instrumentos, softwares ou equipamentos, com foco no “aprender fazendo”.
Objetivo:
Desenvolver capacidades técnicas e procedimentais, promovendo a autonomia e a segurança na execução.
3. Trabalho em Grupo
O que é:
Estratégia que estimula a colaboração e o protagonismo entre os alunos, permitindo que construam soluções de forma coletiva.
Como aplicar:
Organizar grupos com papéis definidos (líder, relator, executor etc.), propondo desafios que demandem planejamento, debate e cooperação.
Objetivo:
Desenvolver competências socioemocionais, como comunicação, responsabilidade e empatia.
4. Dinâmica de Grupo
O que é:
Atividade interativa planejada para estimular o engajamento, a integração e a reflexão coletiva.
Como aplicar:
Usar no início da SA para integrar a turma ou durante o processo para refletir sobre atitudes e valores profissionais.
Objetivo:
Fortalecer o trabalho em equipe e a motivação para a aprendizagem.
5. Visita Técnica
O que é:
Vivência em ambiente profissional real, com observação e análise de processos, tecnologias e práticas de trabalho.
Como aplicar:
Planejar previamente os objetivos da visita e orientar os alunos a registrar observações técnicas.
Após a visita, promover uma discussão sobre o que foi aprendido.
Objetivo:
Relacionar teoria e prática, e desenvolver visão crítica sobre o mundo do trabalho.
6. Ensaio Tecnológico
O que é:
Atividade experimental em que os alunos realizam testes, medições e verificações técnicas para avaliar o desempenho de materiais, processos ou equipamentos.
Como aplicar:
Definir um protocolo de ensaio, orientar sobre instrumentos e normas técnicas, e analisar os resultados com a turma.
Objetivo:
Desenvolver raciocínio científico, precisão técnica e interpretação de dados.
7. Workshop
O que é:
Oficina prática e colaborativa voltada à experimentação de técnicas, tecnologias ou metodologias.
Como aplicar:
Organizar sessões curtas e objetivas, com atividades práticas e momentos de socialização dos resultados.
Objetivo:
Favorecer o intercâmbio de experiências e o aprimoramento técnico.
8. Seminário
O que é:
Apresentação oral de temas pelos alunos, seguida de discussão mediada pelo professor.
Como aplicar:
Propor pesquisas orientadas e apresentação dos resultados com base em critérios técnicos e científicos.
Objetivo:
Desenvolver comunicação técnica, autonomia intelectual e capacidade argumentativa.
9. Painel Temático
O que é:
Discussão estruturada de um tema relevante, com participação ativa dos alunos em papéis distintos (expositores, debatedores, mediadores).
Como aplicar:
Usar para aprofundar temas transversais ou analisar diferentes perspectivas sobre um mesmo problema.
Objetivo:
Estimular o pensamento crítico, a análise comparativa e o respeito à diversidade de ideias.
10. Gamificação
O que é:
Uso de elementos de jogos (pontos, missões, desafios, rankings) em contextos educacionais para estimular o engajamento e a motivação.
Como aplicar:
Criar missões ou desafios com recompensas simbólicas, competições saudáveis ou simulações gamificadas.
Objetivo:
Promover aprendizagem lúdica e motivação intrínseca para alcançar os resultados esperados.
11. Sala de Aula Invertida
O que é:
Metodologia em que o aluno estuda os conceitos teóricos antecipadamente (por meio de vídeos, textos, podcasts) e utiliza o tempo em sala para atividades práticas e discussões.
Como aplicar:
Disponibilizar conteúdos prévios, propor um desafio e, em sala, orientar a aplicação prática e resolução de problemas.
Objetivo:
Estimular a autonomia, autogestão da aprendizagem e o pensamento aplicado.
12. Design Thinking
O que é:
Metodologia centrada no ser humano, usada para resolver problemas complexos de forma criativa, colaborativa e empática.
Como aplicar:
Seguir as etapas: empatia → definição do problema → ideação → prototipagem → teste, aplicando-as a um desafio técnico real.
Objetivo:
Desenvolver pensamento criativo, solução de problemas e inovação tecnológica.
</text>
  </threadedComment>
  <threadedComment ref="L12" dT="2025-11-07T17:25:49.20" personId="{F55B749B-2620-407C-9E00-BF53CC765699}" id="{C614A58F-7277-43EE-B957-EDBC78F7E781}">
    <text xml:space="preserve">1. Avaliação
O que é:
Processo contínuo e sistemático que permite verificar o desenvolvimento das capacidades, conhecimentos e atitudes dos alunos.
Como aplicar:
Pode ser diagnóstica (antes da SA), formativa (durante o processo) ou somativa (ao final). Deve estar vinculada aos critérios de desempenho definidos na Situação de Aprendizagem.
Objetivo:
Acompanhar a evolução do aluno e reorientar o processo de ensino e aprendizagem.
2. Fichas de Observação
O que é:
Instrumento utilizado pelo professor para registrar comportamentos, atitudes e desempenhos observáveis durante atividades práticas ou em grupo.
Como aplicar:
Elaborar fichas com critérios objetivos (ex.: organização, uso de ferramentas, cooperação, cumprimento de normas de segurança). Preencher ao longo da execução das atividades.
Objetivo:
Avaliar desempenho prático, postura profissional e atitudes de forma contínua e qualitativa.
3. Relatórios
O que é:
Documento elaborado pelo aluno ou grupo com a descrição técnica e analítica das atividades realizadas, resultados obtidos e conclusões.
Como aplicar:
Solicitar relatórios após ensaios, visitas técnicas, projetos ou experimentos, orientando a estrutura (introdução, desenvolvimento, análise e conclusão).
Objetivo:
Desenvolver comunicação técnica escrita, interpretação de resultados e capacidade reflexiva.
4. Portfólios
O que é:
Coletânea de evidências (relatórios, registros fotográficos, anotações, produtos e reflexões) que mostram a evolução do aprendizado ao longo do tempo.
Como aplicar:
Organizar os materiais por etapas ou Situações de Aprendizagem, incentivando o aluno a registrar seu progresso e autocrítica.
Objetivo:
Valorizar o processo de aprendizagem e não apenas o resultado final.
5. Provas Objetivas
O que é:
Instrumento composto por questões de múltipla escolha, verdadeiro ou falso, associação ou lacunas, com respostas previamente determinadas.
Como aplicar:
Utilizar para verificar assimilação conceitual e terminológica, especialmente em conteúdos teóricos ou de base técnica.
Objetivo:
Mensurar conhecimento factual e conceitual de forma rápida e padronizada.
6. Provas de Respostas Construídas
O que é:
Instrumento em que o aluno deve redigir respostas, justificar raciocínios ou propor soluções com base em situações-problema.
Como aplicar:
Apresentar questões abertas que exijam interpretação, argumentação e aplicação de conceitos técnicos.
Objetivo:
Avaliar raciocínio lógico, pensamento crítico e capacidade de resolver problemas.
7. Provas Práticas
O que é:
Avaliações realizadas em ambiente prático (laboratório, oficina ou campo), onde o aluno executa procedimentos técnicos e demonstra suas competências.
Como aplicar:
Definir tarefas ou desafios reais, com critérios de avaliação claros (execução correta, tempo, qualidade, segurança, organização).
Objetivo:
Comprovar domínio técnico e procedimental do aluno em situações reais de trabalho.
8. Autoavaliações
O que é:
Instrumento em que o aluno reflete sobre o próprio desempenho, identificando avanços, dificuldades e metas pessoais de aprendizagem.
Como aplicar:
Aplicar ao final da SA ou de cada etapa, com perguntas orientadoras (ex.: “O que aprendi?”, “Em que posso melhorar?”, “Como me senti durante a atividade?”).
Objetivo:
Promover autonomia, autocrítica e responsabilidade pelo próprio aprendizado.
</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25-11-10T17:57:17.88" personId="{F55B749B-2620-407C-9E00-BF53CC765699}" id="{142CAB5E-8E8C-4B91-B158-D8182A5E85E2}">
    <text xml:space="preserve">As Estratégias de Aprendizagem Desafiadoras da MSEP
Na Metodologia SENAI de Educação Profissional (MSEP), o desenvolvimento das capacidades do estudante é o centro do processo formativo.
Para isso, o docente precisa escolher estratégias de aprendizagem desafiadoras — situações reais e instigantes que promovem a autonomia, a resolução de problemas e a aplicação prática do conhecimento.
Cada estratégia possui características específicas e deve ser selecionada conforme o tipo de capacidade que se deseja desenvolver.
1. Situação-Problema
O que é:
É uma estratégia que apresenta aos estudantes um problema real ou simulado relacionado ao contexto profissional. O estudante deve analisar as causas, levantar hipóteses e propor soluções viáveis.
Características principais:
Baseia-se em uma situação desafiadora do mundo do trabalho;
Estimula o pensamento crítico, a investigação e a tomada de decisão;
Promove discussões em grupo e trabalho colaborativo;
Desenvolve a capacidade de resolver problemas complexos e inéditos.
Exemplo:
Uma empresa percebe que seus produtos estão apresentando falhas na pintura após o processo de secagem. A turma de Técnico em Eletromecânica deve investigar as possíveis causas (umidade, temperatura do forno, tipo de tinta, etc.) e propor ações corretivas e preventivas para eliminar o defeito.
2. Pesquisa Aplicada
O que é:
É uma estratégia que incentiva o estudante a buscar, analisar e aplicar informações para resolver um problema ou aprimorar um processo.
Valoriza a curiosidade, a autonomia e a investigação científica aplicada ao contexto técnico.
Características principais:
Desenvolve a autonomia intelectual e a capacidade investigativa;
Exige levantamento e análise de dados;
Estimula a busca por inovação e melhoria contínua;
Aproxima a teoria da prática com base em evidências concretas.
Exemplo:
A turma de Refrigeração e Climatização recebe o desafio de propor uma alternativa sustentável para reduzir o consumo de energia em sistemas de refrigeração comercial. Os estudantes realizam pesquisas sobre gases ecológicos e tecnologias de eficiência energética, e elaboram um relatório técnico com proposta viável.
3. Estudo de Caso
O que é:
É uma estratégia que apresenta uma situação real já ocorrida, geralmente documentada em relatórios, vídeos, imagens ou descrições técnicas.
Os estudantes devem analisar o caso, identificar os problemas e discutir as possíveis soluções, comparando diferentes pontos de vista.
Características principais:
Baseia-se em situações reais e documentadas;
Estimula a análise crítica, o julgamento técnico e a argumentação;
Permite discussão e debate de diferentes soluções possíveis;
Desenvolve a capacidade de aplicar conhecimentos teóricos em contextos práticos.
Exemplo:
Os alunos do curso de Segurança do Trabalho recebem um relatório de acidente ocorrido em uma indústria. Após analisar as causas e consequências, devem identificar as falhas nas medidas preventivas e propor ações corretivas baseadas nas normas regulamentadoras (NRs).
4. Projeto / Projeto Integrador
O que é:
É uma estratégia de aprendizagem que propõe o desenvolvimento de um produto, serviço ou processo, desde o planejamento até a execução e avaliação dos resultados.
No Projeto Integrador, diferentes Unidades Curriculares se articulam para desenvolver uma solução interdisciplinar.
Características principais:
Promove integração entre teoria e prática;
Incentiva o trabalho em equipe, o planejamento e a inovação;
Desenvolve autonomia, criatividade e gestão de processos;
Relaciona-se diretamente ao contexto da indústria e às demandas reais do setor produtivo.
Exemplo:
No curso de Edificações, os estudantes desenvolvem um projeto de acessibilidade para uma escola pública, considerando normas técnicas, orçamentos e sustentabilidade. O projeto é apresentado à comunidade escolar e pode ser adaptado para execução real.
</text>
  </threadedComment>
  <threadedComment ref="B9" dT="2025-11-10T17:28:03.97" personId="{F55B749B-2620-407C-9E00-BF53CC765699}" id="{828F0A70-035B-4A26-A653-416237D3E324}">
    <text>A contextualização da SA consiste em relacionar os conteúdos e habilidades trabalhados com situações reais do mundo do trabalho, tornando o aprendizado mais significativo e aplicável. Ela permite que o estudante compreenda a utilidade prática do que está aprendendo e desenvolva competências profissionais de forma integrada.
O contexto não pode ser muito abrangente, de modo a levar a um distanciamento dos aspectos realmente importantes, nem tão limitado, a ponto de suprimir informações pertinentes ao desafio.</text>
  </threadedComment>
  <threadedComment ref="D12" dT="2025-11-07T14:37:52.68" personId="{F55B749B-2620-407C-9E00-BF53CC765699}" id="{3A136AA5-4C54-4632-BA81-D1DD831E00A2}">
    <text>Capacidades a serem desenvolvidas
O que é:
São as competências práticas, cognitivas e socioemocionais que o aluno deverá desenvolver durante a Situação de Aprendizagem. Essas capacidades estão diretamente relacionadas às habilidades profissionais previstas no curso e orientam o desenvolvimento do “aprender fazendo”.
Como preencher:
Esse campo deve conter somente as capacidades que serão efetivamente mobilizadas para realizar a atividade desafiadora proposta.
A escolha e a redação dessas capacidades devem seguir a progressão evolutiva do processo de ensino-aprendizagem, conforme a Taxonomia de Bloom, que organiza as ações cognitivas em níveis crescentes de complexidade (reconhecer → compreender → aplicar → analisar → avaliar → criar).
Assim, antes de aplicar conhecimentos, o aluno precisa reconhecer ferramentas, equipamentos, fórmulas e procedimentos, evoluindo gradualmente para atividades de maior autonomia e tomada de decisão.</text>
  </threadedComment>
  <threadedComment ref="G12" dT="2025-11-07T14:46:39.98" personId="{F55B749B-2620-407C-9E00-BF53CC765699}" id="{40BBB096-34CE-4FDA-9D1D-9516046D055D}">
    <text xml:space="preserve">Conhecimentos
O que é:
São os saberes teóricos, conceituais e procedimentais que o aluno precisa mobilizar para desenvolver as capacidades desafiadas na Situação de Aprendizagem. Esses conhecimentos dão suporte à prática e garantem que o estudante compreenda o porquê e o como de cada ação executada, integrando teoria e prática de forma significativa.
Como preencher:
Devem ser listados apenas os conhecimentos diretamente relacionados às capacidades que serão desenvolvidas na atividade desafiadora proposta.
</text>
  </threadedComment>
  <threadedComment ref="I12" dT="2025-11-07T17:08:20.80" personId="{F55B749B-2620-407C-9E00-BF53CC765699}" id="{D4ABD00B-C0FA-47EE-9A8E-9CA8D993A2D1}">
    <text xml:space="preserve">Desafios
O que é:
São as situações-problema ou atividades desafiadoras que serão propostas para o aluno. Representam o “contexto de trabalho” que estimula o “aprender fazendo”.
Como preencher:
Descreva o desafio de forma prática e contextualizada.
Exemplo:
O aluno deverá identificar as causas prováveis da infiltração e propor uma solução técnica viável e segura, considerando:
as etapas executivas da construção;
os materiais aplicados;
as condições do ambiente;
e o custo-benefício das alternativas.
</text>
  </threadedComment>
  <threadedComment ref="J12" dT="2025-11-07T17:13:22.56" personId="{F55B749B-2620-407C-9E00-BF53CC765699}" id="{E85E22F0-58F7-40EA-9DDB-1A54047BB086}">
    <text xml:space="preserve">Resultado Esperado
O que é:
É o produto final ou comportamento observável que demonstra que o aluno desenvolveu as capacidades.
Pode ser algo tangível (um relatório, protótipo, conserto, apresentação) ou intangível (comunicação eficaz, tomada de decisão, trabalho em equipe).
Como preencher:
Descreva o que o aluno deverá entregar, demonstrar ou apresentar ao final.
Use indicadores observáveis e coerentes com as capacidades e o desafio.
Exemplo:
Realizar pesquisa aplicada sobre tipos e causas de infiltração;
Fazer análise de um estudo de caso real ou simulado (imagens, relatórios, vídeos da obra);
Propor um plano de intervenção técnica, apresentando a solução escolhida e justificando tecnicamente;
Produzir relatório técnico e apresentar oralmente as conclusões para a turma.
</text>
  </threadedComment>
  <threadedComment ref="K12" dT="2025-11-07T17:19:57.10" personId="{F55B749B-2620-407C-9E00-BF53CC765699}" id="{23EB87F0-C1AB-40C5-8E6D-6A548B284685}">
    <text xml:space="preserve">1. Exposição Dialogada
O que é:
Método em que o professor apresenta conceitos e informações, estimulando a participação ativa dos alunos por meio de perguntas, comentários e reflexões.
Como aplicar:
Utilizar para introduzir novos conhecimentos, contextualizar o desafio e construir entendimento coletivo.
Pode incluir uso de slides, vídeos curtos e discussões guiadas.
Objetivo:
Favorecer a compreensão conceitual e o pensamento crítico sobre o conteúdo apresentado.
2. Atividade Prática
O que é:
Execução de tarefas reais ou simuladas em laboratório, oficina ou ambiente controlado, em que o aluno aplica na prática o que aprendeu.
Como aplicar:
Propor atividades que exijam uso de ferramentas, instrumentos, softwares ou equipamentos, com foco no “aprender fazendo”.
Objetivo:
Desenvolver capacidades técnicas e procedimentais, promovendo a autonomia e a segurança na execução.
3. Trabalho em Grupo
O que é:
Estratégia que estimula a colaboração e o protagonismo entre os alunos, permitindo que construam soluções de forma coletiva.
Como aplicar:
Organizar grupos com papéis definidos (líder, relator, executor etc.), propondo desafios que demandem planejamento, debate e cooperação.
Objetivo:
Desenvolver competências socioemocionais, como comunicação, responsabilidade e empatia.
4. Dinâmica de Grupo
O que é:
Atividade interativa planejada para estimular o engajamento, a integração e a reflexão coletiva.
Como aplicar:
Usar no início da SA para integrar a turma ou durante o processo para refletir sobre atitudes e valores profissionais.
Objetivo:
Fortalecer o trabalho em equipe e a motivação para a aprendizagem.
5. Visita Técnica
O que é:
Vivência em ambiente profissional real, com observação e análise de processos, tecnologias e práticas de trabalho.
Como aplicar:
Planejar previamente os objetivos da visita e orientar os alunos a registrar observações técnicas.
Após a visita, promover uma discussão sobre o que foi aprendido.
Objetivo:
Relacionar teoria e prática, e desenvolver visão crítica sobre o mundo do trabalho.
6. Ensaio Tecnológico
O que é:
Atividade experimental em que os alunos realizam testes, medições e verificações técnicas para avaliar o desempenho de materiais, processos ou equipamentos.
Como aplicar:
Definir um protocolo de ensaio, orientar sobre instrumentos e normas técnicas, e analisar os resultados com a turma.
Objetivo:
Desenvolver raciocínio científico, precisão técnica e interpretação de dados.
7. Workshop
O que é:
Oficina prática e colaborativa voltada à experimentação de técnicas, tecnologias ou metodologias.
Como aplicar:
Organizar sessões curtas e objetivas, com atividades práticas e momentos de socialização dos resultados.
Objetivo:
Favorecer o intercâmbio de experiências e o aprimoramento técnico.
8. Seminário
O que é:
Apresentação oral de temas pelos alunos, seguida de discussão mediada pelo professor.
Como aplicar:
Propor pesquisas orientadas e apresentação dos resultados com base em critérios técnicos e científicos.
Objetivo:
Desenvolver comunicação técnica, autonomia intelectual e capacidade argumentativa.
9. Painel Temático
O que é:
Discussão estruturada de um tema relevante, com participação ativa dos alunos em papéis distintos (expositores, debatedores, mediadores).
Como aplicar:
Usar para aprofundar temas transversais ou analisar diferentes perspectivas sobre um mesmo problema.
Objetivo:
Estimular o pensamento crítico, a análise comparativa e o respeito à diversidade de ideias.
10. Gamificação
O que é:
Uso de elementos de jogos (pontos, missões, desafios, rankings) em contextos educacionais para estimular o engajamento e a motivação.
Como aplicar:
Criar missões ou desafios com recompensas simbólicas, competições saudáveis ou simulações gamificadas.
Objetivo:
Promover aprendizagem lúdica e motivação intrínseca para alcançar os resultados esperados.
11. Sala de Aula Invertida
O que é:
Metodologia em que o aluno estuda os conceitos teóricos antecipadamente (por meio de vídeos, textos, podcasts) e utiliza o tempo em sala para atividades práticas e discussões.
Como aplicar:
Disponibilizar conteúdos prévios, propor um desafio e, em sala, orientar a aplicação prática e resolução de problemas.
Objetivo:
Estimular a autonomia, autogestão da aprendizagem e o pensamento aplicado.
12. Design Thinking
O que é:
Metodologia centrada no ser humano, usada para resolver problemas complexos de forma criativa, colaborativa e empática.
Como aplicar:
Seguir as etapas: empatia → definição do problema → ideação → prototipagem → teste, aplicando-as a um desafio técnico real.
Objetivo:
Desenvolver pensamento criativo, solução de problemas e inovação tecnológica.
</text>
  </threadedComment>
  <threadedComment ref="L12" dT="2025-11-07T17:25:49.20" personId="{F55B749B-2620-407C-9E00-BF53CC765699}" id="{3C5A0DCB-2D42-44FC-AED3-78F380233131}">
    <text xml:space="preserve">1. Avaliação
O que é:
Processo contínuo e sistemático que permite verificar o desenvolvimento das capacidades, conhecimentos e atitudes dos alunos.
Como aplicar:
Pode ser diagnóstica (antes da SA), formativa (durante o processo) ou somativa (ao final). Deve estar vinculada aos critérios de desempenho definidos na Situação de Aprendizagem.
Objetivo:
Acompanhar a evolução do aluno e reorientar o processo de ensino e aprendizagem.
2. Fichas de Observação
O que é:
Instrumento utilizado pelo professor para registrar comportamentos, atitudes e desempenhos observáveis durante atividades práticas ou em grupo.
Como aplicar:
Elaborar fichas com critérios objetivos (ex.: organização, uso de ferramentas, cooperação, cumprimento de normas de segurança). Preencher ao longo da execução das atividades.
Objetivo:
Avaliar desempenho prático, postura profissional e atitudes de forma contínua e qualitativa.
3. Relatórios
O que é:
Documento elaborado pelo aluno ou grupo com a descrição técnica e analítica das atividades realizadas, resultados obtidos e conclusões.
Como aplicar:
Solicitar relatórios após ensaios, visitas técnicas, projetos ou experimentos, orientando a estrutura (introdução, desenvolvimento, análise e conclusão).
Objetivo:
Desenvolver comunicação técnica escrita, interpretação de resultados e capacidade reflexiva.
4. Portfólios
O que é:
Coletânea de evidências (relatórios, registros fotográficos, anotações, produtos e reflexões) que mostram a evolução do aprendizado ao longo do tempo.
Como aplicar:
Organizar os materiais por etapas ou Situações de Aprendizagem, incentivando o aluno a registrar seu progresso e autocrítica.
Objetivo:
Valorizar o processo de aprendizagem e não apenas o resultado final.
5. Provas Objetivas
O que é:
Instrumento composto por questões de múltipla escolha, verdadeiro ou falso, associação ou lacunas, com respostas previamente determinadas.
Como aplicar:
Utilizar para verificar assimilação conceitual e terminológica, especialmente em conteúdos teóricos ou de base técnica.
Objetivo:
Mensurar conhecimento factual e conceitual de forma rápida e padronizada.
6. Provas de Respostas Construídas
O que é:
Instrumento em que o aluno deve redigir respostas, justificar raciocínios ou propor soluções com base em situações-problema.
Como aplicar:
Apresentar questões abertas que exijam interpretação, argumentação e aplicação de conceitos técnicos.
Objetivo:
Avaliar raciocínio lógico, pensamento crítico e capacidade de resolver problemas.
7. Provas Práticas
O que é:
Avaliações realizadas em ambiente prático (laboratório, oficina ou campo), onde o aluno executa procedimentos técnicos e demonstra suas competências.
Como aplicar:
Definir tarefas ou desafios reais, com critérios de avaliação claros (execução correta, tempo, qualidade, segurança, organização).
Objetivo:
Comprovar domínio técnico e procedimental do aluno em situações reais de trabalho.
8. Autoavaliações
O que é:
Instrumento em que o aluno reflete sobre o próprio desempenho, identificando avanços, dificuldades e metas pessoais de aprendizagem.
Como aplicar:
Aplicar ao final da SA ou de cada etapa, com perguntas orientadoras (ex.: “O que aprendi?”, “Em que posso melhorar?”, “Como me senti durante a atividade?”).
Objetivo:
Promover autonomia, autocrítica e responsabilidade pelo próprio aprendizado.
</text>
  </threadedComment>
</ThreadedComments>
</file>

<file path=xl/threadedComments/threadedComment5.xml><?xml version="1.0" encoding="utf-8"?>
<ThreadedComments xmlns="http://schemas.microsoft.com/office/spreadsheetml/2018/threadedcomments" xmlns:x="http://schemas.openxmlformats.org/spreadsheetml/2006/main">
  <threadedComment ref="B6" dT="2025-11-10T17:57:17.88" personId="{F55B749B-2620-407C-9E00-BF53CC765699}" id="{09638316-356C-45CC-B794-9D200F5BECEE}">
    <text xml:space="preserve">As Estratégias de Aprendizagem Desafiadoras da MSEP
Na Metodologia SENAI de Educação Profissional (MSEP), o desenvolvimento das capacidades do estudante é o centro do processo formativo.
Para isso, o docente precisa escolher estratégias de aprendizagem desafiadoras — situações reais e instigantes que promovem a autonomia, a resolução de problemas e a aplicação prática do conhecimento.
Cada estratégia possui características específicas e deve ser selecionada conforme o tipo de capacidade que se deseja desenvolver.
1. Situação-Problema
O que é:
É uma estratégia que apresenta aos estudantes um problema real ou simulado relacionado ao contexto profissional. O estudante deve analisar as causas, levantar hipóteses e propor soluções viáveis.
Características principais:
Baseia-se em uma situação desafiadora do mundo do trabalho;
Estimula o pensamento crítico, a investigação e a tomada de decisão;
Promove discussões em grupo e trabalho colaborativo;
Desenvolve a capacidade de resolver problemas complexos e inéditos.
Exemplo:
Uma empresa percebe que seus produtos estão apresentando falhas na pintura após o processo de secagem. A turma de Técnico em Eletromecânica deve investigar as possíveis causas (umidade, temperatura do forno, tipo de tinta, etc.) e propor ações corretivas e preventivas para eliminar o defeito.
2. Pesquisa Aplicada
O que é:
É uma estratégia que incentiva o estudante a buscar, analisar e aplicar informações para resolver um problema ou aprimorar um processo.
Valoriza a curiosidade, a autonomia e a investigação científica aplicada ao contexto técnico.
Características principais:
Desenvolve a autonomia intelectual e a capacidade investigativa;
Exige levantamento e análise de dados;
Estimula a busca por inovação e melhoria contínua;
Aproxima a teoria da prática com base em evidências concretas.
Exemplo:
A turma de Refrigeração e Climatização recebe o desafio de propor uma alternativa sustentável para reduzir o consumo de energia em sistemas de refrigeração comercial. Os estudantes realizam pesquisas sobre gases ecológicos e tecnologias de eficiência energética, e elaboram um relatório técnico com proposta viável.
3. Estudo de Caso
O que é:
É uma estratégia que apresenta uma situação real já ocorrida, geralmente documentada em relatórios, vídeos, imagens ou descrições técnicas.
Os estudantes devem analisar o caso, identificar os problemas e discutir as possíveis soluções, comparando diferentes pontos de vista.
Características principais:
Baseia-se em situações reais e documentadas;
Estimula a análise crítica, o julgamento técnico e a argumentação;
Permite discussão e debate de diferentes soluções possíveis;
Desenvolve a capacidade de aplicar conhecimentos teóricos em contextos práticos.
Exemplo:
Os alunos do curso de Segurança do Trabalho recebem um relatório de acidente ocorrido em uma indústria. Após analisar as causas e consequências, devem identificar as falhas nas medidas preventivas e propor ações corretivas baseadas nas normas regulamentadoras (NRs).
4. Projeto / Projeto Integrador
O que é:
É uma estratégia de aprendizagem que propõe o desenvolvimento de um produto, serviço ou processo, desde o planejamento até a execução e avaliação dos resultados.
No Projeto Integrador, diferentes Unidades Curriculares se articulam para desenvolver uma solução interdisciplinar.
Características principais:
Promove integração entre teoria e prática;
Incentiva o trabalho em equipe, o planejamento e a inovação;
Desenvolve autonomia, criatividade e gestão de processos;
Relaciona-se diretamente ao contexto da indústria e às demandas reais do setor produtivo.
Exemplo:
No curso de Edificações, os estudantes desenvolvem um projeto de acessibilidade para uma escola pública, considerando normas técnicas, orçamentos e sustentabilidade. O projeto é apresentado à comunidade escolar e pode ser adaptado para execução real.
</text>
  </threadedComment>
  <threadedComment ref="B9" dT="2025-11-10T17:28:03.97" personId="{F55B749B-2620-407C-9E00-BF53CC765699}" id="{7D2C87A5-A884-46CE-9BDB-844A26113351}">
    <text>A contextualização da SA consiste em relacionar os conteúdos e habilidades trabalhados com situações reais do mundo do trabalho, tornando o aprendizado mais significativo e aplicável. Ela permite que o estudante compreenda a utilidade prática do que está aprendendo e desenvolva competências profissionais de forma integrada.
O contexto não pode ser muito abrangente, de modo a levar a um distanciamento dos aspectos realmente importantes, nem tão limitado, a ponto de suprimir informações pertinentes ao desafio.</text>
  </threadedComment>
  <threadedComment ref="D12" dT="2025-11-07T14:37:52.68" personId="{F55B749B-2620-407C-9E00-BF53CC765699}" id="{31CE1845-34B8-41D0-B569-8E6DD9670F93}">
    <text>Capacidades a serem desenvolvidas
O que é:
São as competências práticas, cognitivas e socioemocionais que o aluno deverá desenvolver durante a Situação de Aprendizagem. Essas capacidades estão diretamente relacionadas às habilidades profissionais previstas no curso e orientam o desenvolvimento do “aprender fazendo”.
Como preencher:
Esse campo deve conter somente as capacidades que serão efetivamente mobilizadas para realizar a atividade desafiadora proposta.
A escolha e a redação dessas capacidades devem seguir a progressão evolutiva do processo de ensino-aprendizagem, conforme a Taxonomia de Bloom, que organiza as ações cognitivas em níveis crescentes de complexidade (reconhecer → compreender → aplicar → analisar → avaliar → criar).
Assim, antes de aplicar conhecimentos, o aluno precisa reconhecer ferramentas, equipamentos, fórmulas e procedimentos, evoluindo gradualmente para atividades de maior autonomia e tomada de decisão.</text>
  </threadedComment>
  <threadedComment ref="G12" dT="2025-11-07T14:46:39.98" personId="{F55B749B-2620-407C-9E00-BF53CC765699}" id="{EF760FC4-AFDB-468A-8DA3-D2CD24407A15}">
    <text xml:space="preserve">Conhecimentos
O que é:
São os saberes teóricos, conceituais e procedimentais que o aluno precisa mobilizar para desenvolver as capacidades desafiadas na Situação de Aprendizagem. Esses conhecimentos dão suporte à prática e garantem que o estudante compreenda o porquê e o como de cada ação executada, integrando teoria e prática de forma significativa.
Como preencher:
Devem ser listados apenas os conhecimentos diretamente relacionados às capacidades que serão desenvolvidas na atividade desafiadora proposta.
</text>
  </threadedComment>
  <threadedComment ref="I12" dT="2025-11-07T17:08:20.80" personId="{F55B749B-2620-407C-9E00-BF53CC765699}" id="{CD60DEC9-A4DC-4B1B-8782-B6AEF86CD791}">
    <text xml:space="preserve">Desafios
O que é:
São as situações-problema ou atividades desafiadoras que serão propostas para o aluno. Representam o “contexto de trabalho” que estimula o “aprender fazendo”.
Como preencher:
Descreva o desafio de forma prática e contextualizada.
Exemplo:
O aluno deverá identificar as causas prováveis da infiltração e propor uma solução técnica viável e segura, considerando:
as etapas executivas da construção;
os materiais aplicados;
as condições do ambiente;
e o custo-benefício das alternativas.
</text>
  </threadedComment>
  <threadedComment ref="J12" dT="2025-11-07T17:13:22.56" personId="{F55B749B-2620-407C-9E00-BF53CC765699}" id="{859BF11A-1F3B-4838-B65E-33121DBFBCC6}">
    <text xml:space="preserve">Resultado Esperado
O que é:
É o produto final ou comportamento observável que demonstra que o aluno desenvolveu as capacidades.
Pode ser algo tangível (um relatório, protótipo, conserto, apresentação) ou intangível (comunicação eficaz, tomada de decisão, trabalho em equipe).
Como preencher:
Descreva o que o aluno deverá entregar, demonstrar ou apresentar ao final.
Use indicadores observáveis e coerentes com as capacidades e o desafio.
Exemplo:
Realizar pesquisa aplicada sobre tipos e causas de infiltração;
Fazer análise de um estudo de caso real ou simulado (imagens, relatórios, vídeos da obra);
Propor um plano de intervenção técnica, apresentando a solução escolhida e justificando tecnicamente;
Produzir relatório técnico e apresentar oralmente as conclusões para a turma.
</text>
  </threadedComment>
  <threadedComment ref="K12" dT="2025-11-07T17:19:57.10" personId="{F55B749B-2620-407C-9E00-BF53CC765699}" id="{8B57AA92-BF90-43A7-87A0-BCF6FB0FAFBC}">
    <text xml:space="preserve">1. Exposição Dialogada
O que é:
Método em que o professor apresenta conceitos e informações, estimulando a participação ativa dos alunos por meio de perguntas, comentários e reflexões.
Como aplicar:
Utilizar para introduzir novos conhecimentos, contextualizar o desafio e construir entendimento coletivo.
Pode incluir uso de slides, vídeos curtos e discussões guiadas.
Objetivo:
Favorecer a compreensão conceitual e o pensamento crítico sobre o conteúdo apresentado.
2. Atividade Prática
O que é:
Execução de tarefas reais ou simuladas em laboratório, oficina ou ambiente controlado, em que o aluno aplica na prática o que aprendeu.
Como aplicar:
Propor atividades que exijam uso de ferramentas, instrumentos, softwares ou equipamentos, com foco no “aprender fazendo”.
Objetivo:
Desenvolver capacidades técnicas e procedimentais, promovendo a autonomia e a segurança na execução.
3. Trabalho em Grupo
O que é:
Estratégia que estimula a colaboração e o protagonismo entre os alunos, permitindo que construam soluções de forma coletiva.
Como aplicar:
Organizar grupos com papéis definidos (líder, relator, executor etc.), propondo desafios que demandem planejamento, debate e cooperação.
Objetivo:
Desenvolver competências socioemocionais, como comunicação, responsabilidade e empatia.
4. Dinâmica de Grupo
O que é:
Atividade interativa planejada para estimular o engajamento, a integração e a reflexão coletiva.
Como aplicar:
Usar no início da SA para integrar a turma ou durante o processo para refletir sobre atitudes e valores profissionais.
Objetivo:
Fortalecer o trabalho em equipe e a motivação para a aprendizagem.
5. Visita Técnica
O que é:
Vivência em ambiente profissional real, com observação e análise de processos, tecnologias e práticas de trabalho.
Como aplicar:
Planejar previamente os objetivos da visita e orientar os alunos a registrar observações técnicas.
Após a visita, promover uma discussão sobre o que foi aprendido.
Objetivo:
Relacionar teoria e prática, e desenvolver visão crítica sobre o mundo do trabalho.
6. Ensaio Tecnológico
O que é:
Atividade experimental em que os alunos realizam testes, medições e verificações técnicas para avaliar o desempenho de materiais, processos ou equipamentos.
Como aplicar:
Definir um protocolo de ensaio, orientar sobre instrumentos e normas técnicas, e analisar os resultados com a turma.
Objetivo:
Desenvolver raciocínio científico, precisão técnica e interpretação de dados.
7. Workshop
O que é:
Oficina prática e colaborativa voltada à experimentação de técnicas, tecnologias ou metodologias.
Como aplicar:
Organizar sessões curtas e objetivas, com atividades práticas e momentos de socialização dos resultados.
Objetivo:
Favorecer o intercâmbio de experiências e o aprimoramento técnico.
8. Seminário
O que é:
Apresentação oral de temas pelos alunos, seguida de discussão mediada pelo professor.
Como aplicar:
Propor pesquisas orientadas e apresentação dos resultados com base em critérios técnicos e científicos.
Objetivo:
Desenvolver comunicação técnica, autonomia intelectual e capacidade argumentativa.
9. Painel Temático
O que é:
Discussão estruturada de um tema relevante, com participação ativa dos alunos em papéis distintos (expositores, debatedores, mediadores).
Como aplicar:
Usar para aprofundar temas transversais ou analisar diferentes perspectivas sobre um mesmo problema.
Objetivo:
Estimular o pensamento crítico, a análise comparativa e o respeito à diversidade de ideias.
10. Gamificação
O que é:
Uso de elementos de jogos (pontos, missões, desafios, rankings) em contextos educacionais para estimular o engajamento e a motivação.
Como aplicar:
Criar missões ou desafios com recompensas simbólicas, competições saudáveis ou simulações gamificadas.
Objetivo:
Promover aprendizagem lúdica e motivação intrínseca para alcançar os resultados esperados.
11. Sala de Aula Invertida
O que é:
Metodologia em que o aluno estuda os conceitos teóricos antecipadamente (por meio de vídeos, textos, podcasts) e utiliza o tempo em sala para atividades práticas e discussões.
Como aplicar:
Disponibilizar conteúdos prévios, propor um desafio e, em sala, orientar a aplicação prática e resolução de problemas.
Objetivo:
Estimular a autonomia, autogestão da aprendizagem e o pensamento aplicado.
12. Design Thinking
O que é:
Metodologia centrada no ser humano, usada para resolver problemas complexos de forma criativa, colaborativa e empática.
Como aplicar:
Seguir as etapas: empatia → definição do problema → ideação → prototipagem → teste, aplicando-as a um desafio técnico real.
Objetivo:
Desenvolver pensamento criativo, solução de problemas e inovação tecnológica.
</text>
  </threadedComment>
  <threadedComment ref="L12" dT="2025-11-07T17:25:49.20" personId="{F55B749B-2620-407C-9E00-BF53CC765699}" id="{EDCDBE9B-17FE-4447-9607-4CE7D381FE6E}">
    <text xml:space="preserve">1. Avaliação
O que é:
Processo contínuo e sistemático que permite verificar o desenvolvimento das capacidades, conhecimentos e atitudes dos alunos.
Como aplicar:
Pode ser diagnóstica (antes da SA), formativa (durante o processo) ou somativa (ao final). Deve estar vinculada aos critérios de desempenho definidos na Situação de Aprendizagem.
Objetivo:
Acompanhar a evolução do aluno e reorientar o processo de ensino e aprendizagem.
2. Fichas de Observação
O que é:
Instrumento utilizado pelo professor para registrar comportamentos, atitudes e desempenhos observáveis durante atividades práticas ou em grupo.
Como aplicar:
Elaborar fichas com critérios objetivos (ex.: organização, uso de ferramentas, cooperação, cumprimento de normas de segurança). Preencher ao longo da execução das atividades.
Objetivo:
Avaliar desempenho prático, postura profissional e atitudes de forma contínua e qualitativa.
3. Relatórios
O que é:
Documento elaborado pelo aluno ou grupo com a descrição técnica e analítica das atividades realizadas, resultados obtidos e conclusões.
Como aplicar:
Solicitar relatórios após ensaios, visitas técnicas, projetos ou experimentos, orientando a estrutura (introdução, desenvolvimento, análise e conclusão).
Objetivo:
Desenvolver comunicação técnica escrita, interpretação de resultados e capacidade reflexiva.
4. Portfólios
O que é:
Coletânea de evidências (relatórios, registros fotográficos, anotações, produtos e reflexões) que mostram a evolução do aprendizado ao longo do tempo.
Como aplicar:
Organizar os materiais por etapas ou Situações de Aprendizagem, incentivando o aluno a registrar seu progresso e autocrítica.
Objetivo:
Valorizar o processo de aprendizagem e não apenas o resultado final.
5. Provas Objetivas
O que é:
Instrumento composto por questões de múltipla escolha, verdadeiro ou falso, associação ou lacunas, com respostas previamente determinadas.
Como aplicar:
Utilizar para verificar assimilação conceitual e terminológica, especialmente em conteúdos teóricos ou de base técnica.
Objetivo:
Mensurar conhecimento factual e conceitual de forma rápida e padronizada.
6. Provas de Respostas Construídas
O que é:
Instrumento em que o aluno deve redigir respostas, justificar raciocínios ou propor soluções com base em situações-problema.
Como aplicar:
Apresentar questões abertas que exijam interpretação, argumentação e aplicação de conceitos técnicos.
Objetivo:
Avaliar raciocínio lógico, pensamento crítico e capacidade de resolver problemas.
7. Provas Práticas
O que é:
Avaliações realizadas em ambiente prático (laboratório, oficina ou campo), onde o aluno executa procedimentos técnicos e demonstra suas competências.
Como aplicar:
Definir tarefas ou desafios reais, com critérios de avaliação claros (execução correta, tempo, qualidade, segurança, organização).
Objetivo:
Comprovar domínio técnico e procedimental do aluno em situações reais de trabalho.
8. Autoavaliações
O que é:
Instrumento em que o aluno reflete sobre o próprio desempenho, identificando avanços, dificuldades e metas pessoais de aprendizagem.
Como aplicar:
Aplicar ao final da SA ou de cada etapa, com perguntas orientadoras (ex.: “O que aprendi?”, “Em que posso melhorar?”, “Como me senti durante a atividade?”).
Objetivo:
Promover autonomia, autocrítica e responsabilidade pelo próprio aprendizado.
</text>
  </threadedComment>
</ThreadedComments>
</file>

<file path=xl/threadedComments/threadedComment6.xml><?xml version="1.0" encoding="utf-8"?>
<ThreadedComments xmlns="http://schemas.microsoft.com/office/spreadsheetml/2018/threadedcomments" xmlns:x="http://schemas.openxmlformats.org/spreadsheetml/2006/main">
  <threadedComment ref="B6" dT="2025-11-10T17:57:17.88" personId="{F55B749B-2620-407C-9E00-BF53CC765699}" id="{224FE3D8-347A-4EE5-A69E-7F3EAB56F599}">
    <text xml:space="preserve">As Estratégias de Aprendizagem Desafiadoras da MSEP
Na Metodologia SENAI de Educação Profissional (MSEP), o desenvolvimento das capacidades do estudante é o centro do processo formativo.
Para isso, o docente precisa escolher estratégias de aprendizagem desafiadoras — situações reais e instigantes que promovem a autonomia, a resolução de problemas e a aplicação prática do conhecimento.
Cada estratégia possui características específicas e deve ser selecionada conforme o tipo de capacidade que se deseja desenvolver.
1. Situação-Problema
O que é:
É uma estratégia que apresenta aos estudantes um problema real ou simulado relacionado ao contexto profissional. O estudante deve analisar as causas, levantar hipóteses e propor soluções viáveis.
Características principais:
Baseia-se em uma situação desafiadora do mundo do trabalho;
Estimula o pensamento crítico, a investigação e a tomada de decisão;
Promove discussões em grupo e trabalho colaborativo;
Desenvolve a capacidade de resolver problemas complexos e inéditos.
Exemplo:
Uma empresa percebe que seus produtos estão apresentando falhas na pintura após o processo de secagem. A turma de Técnico em Eletromecânica deve investigar as possíveis causas (umidade, temperatura do forno, tipo de tinta, etc.) e propor ações corretivas e preventivas para eliminar o defeito.
2. Pesquisa Aplicada
O que é:
É uma estratégia que incentiva o estudante a buscar, analisar e aplicar informações para resolver um problema ou aprimorar um processo.
Valoriza a curiosidade, a autonomia e a investigação científica aplicada ao contexto técnico.
Características principais:
Desenvolve a autonomia intelectual e a capacidade investigativa;
Exige levantamento e análise de dados;
Estimula a busca por inovação e melhoria contínua;
Aproxima a teoria da prática com base em evidências concretas.
Exemplo:
A turma de Refrigeração e Climatização recebe o desafio de propor uma alternativa sustentável para reduzir o consumo de energia em sistemas de refrigeração comercial. Os estudantes realizam pesquisas sobre gases ecológicos e tecnologias de eficiência energética, e elaboram um relatório técnico com proposta viável.
3. Estudo de Caso
O que é:
É uma estratégia que apresenta uma situação real já ocorrida, geralmente documentada em relatórios, vídeos, imagens ou descrições técnicas.
Os estudantes devem analisar o caso, identificar os problemas e discutir as possíveis soluções, comparando diferentes pontos de vista.
Características principais:
Baseia-se em situações reais e documentadas;
Estimula a análise crítica, o julgamento técnico e a argumentação;
Permite discussão e debate de diferentes soluções possíveis;
Desenvolve a capacidade de aplicar conhecimentos teóricos em contextos práticos.
Exemplo:
Os alunos do curso de Segurança do Trabalho recebem um relatório de acidente ocorrido em uma indústria. Após analisar as causas e consequências, devem identificar as falhas nas medidas preventivas e propor ações corretivas baseadas nas normas regulamentadoras (NRs).
4. Projeto / Projeto Integrador
O que é:
É uma estratégia de aprendizagem que propõe o desenvolvimento de um produto, serviço ou processo, desde o planejamento até a execução e avaliação dos resultados.
No Projeto Integrador, diferentes Unidades Curriculares se articulam para desenvolver uma solução interdisciplinar.
Características principais:
Promove integração entre teoria e prática;
Incentiva o trabalho em equipe, o planejamento e a inovação;
Desenvolve autonomia, criatividade e gestão de processos;
Relaciona-se diretamente ao contexto da indústria e às demandas reais do setor produtivo.
Exemplo:
No curso de Edificações, os estudantes desenvolvem um projeto de acessibilidade para uma escola pública, considerando normas técnicas, orçamentos e sustentabilidade. O projeto é apresentado à comunidade escolar e pode ser adaptado para execução real.
</text>
  </threadedComment>
  <threadedComment ref="B9" dT="2025-11-10T17:28:03.97" personId="{F55B749B-2620-407C-9E00-BF53CC765699}" id="{CD28115D-7566-4B93-BF78-A7925D867E0E}">
    <text>A contextualização da SA consiste em relacionar os conteúdos e habilidades trabalhados com situações reais do mundo do trabalho, tornando o aprendizado mais significativo e aplicável. Ela permite que o estudante compreenda a utilidade prática do que está aprendendo e desenvolva competências profissionais de forma integrada.
O contexto não pode ser muito abrangente, de modo a levar a um distanciamento dos aspectos realmente importantes, nem tão limitado, a ponto de suprimir informações pertinentes ao desafio.</text>
  </threadedComment>
  <threadedComment ref="D12" dT="2025-11-07T14:37:52.68" personId="{F55B749B-2620-407C-9E00-BF53CC765699}" id="{1995FA2B-FB51-4E17-8E65-C80C55D55B03}">
    <text>Capacidades a serem desenvolvidas
O que é:
São as competências práticas, cognitivas e socioemocionais que o aluno deverá desenvolver durante a Situação de Aprendizagem. Essas capacidades estão diretamente relacionadas às habilidades profissionais previstas no curso e orientam o desenvolvimento do “aprender fazendo”.
Como preencher:
Esse campo deve conter somente as capacidades que serão efetivamente mobilizadas para realizar a atividade desafiadora proposta.
A escolha e a redação dessas capacidades devem seguir a progressão evolutiva do processo de ensino-aprendizagem, conforme a Taxonomia de Bloom, que organiza as ações cognitivas em níveis crescentes de complexidade (reconhecer → compreender → aplicar → analisar → avaliar → criar).
Assim, antes de aplicar conhecimentos, o aluno precisa reconhecer ferramentas, equipamentos, fórmulas e procedimentos, evoluindo gradualmente para atividades de maior autonomia e tomada de decisão.</text>
  </threadedComment>
  <threadedComment ref="G12" dT="2025-11-07T14:46:39.98" personId="{F55B749B-2620-407C-9E00-BF53CC765699}" id="{BB6E444F-EABA-4074-B3D3-C3A68BED5D6D}">
    <text xml:space="preserve">Conhecimentos
O que é:
São os saberes teóricos, conceituais e procedimentais que o aluno precisa mobilizar para desenvolver as capacidades desafiadas na Situação de Aprendizagem. Esses conhecimentos dão suporte à prática e garantem que o estudante compreenda o porquê e o como de cada ação executada, integrando teoria e prática de forma significativa.
Como preencher:
Devem ser listados apenas os conhecimentos diretamente relacionados às capacidades que serão desenvolvidas na atividade desafiadora proposta.
</text>
  </threadedComment>
  <threadedComment ref="I12" dT="2025-11-07T17:08:20.80" personId="{F55B749B-2620-407C-9E00-BF53CC765699}" id="{7653F09D-F2E9-4194-8AFE-9330EA7F5077}">
    <text xml:space="preserve">Desafios
O que é:
São as situações-problema ou atividades desafiadoras que serão propostas para o aluno. Representam o “contexto de trabalho” que estimula o “aprender fazendo”.
Como preencher:
Descreva o desafio de forma prática e contextualizada.
Exemplo:
O aluno deverá identificar as causas prováveis da infiltração e propor uma solução técnica viável e segura, considerando:
as etapas executivas da construção;
os materiais aplicados;
as condições do ambiente;
e o custo-benefício das alternativas.
</text>
  </threadedComment>
  <threadedComment ref="J12" dT="2025-11-07T17:13:22.56" personId="{F55B749B-2620-407C-9E00-BF53CC765699}" id="{94C8FF2A-0867-4C33-A8C2-94C8697B7E5B}">
    <text xml:space="preserve">Resultado Esperado
O que é:
É o produto final ou comportamento observável que demonstra que o aluno desenvolveu as capacidades.
Pode ser algo tangível (um relatório, protótipo, conserto, apresentação) ou intangível (comunicação eficaz, tomada de decisão, trabalho em equipe).
Como preencher:
Descreva o que o aluno deverá entregar, demonstrar ou apresentar ao final.
Use indicadores observáveis e coerentes com as capacidades e o desafio.
Exemplo:
Realizar pesquisa aplicada sobre tipos e causas de infiltração;
Fazer análise de um estudo de caso real ou simulado (imagens, relatórios, vídeos da obra);
Propor um plano de intervenção técnica, apresentando a solução escolhida e justificando tecnicamente;
Produzir relatório técnico e apresentar oralmente as conclusões para a turma.
</text>
  </threadedComment>
  <threadedComment ref="K12" dT="2025-11-07T17:19:57.10" personId="{F55B749B-2620-407C-9E00-BF53CC765699}" id="{1DE88A2C-6523-4C75-9ED4-7586B326C408}">
    <text xml:space="preserve">1. Exposição Dialogada
O que é:
Método em que o professor apresenta conceitos e informações, estimulando a participação ativa dos alunos por meio de perguntas, comentários e reflexões.
Como aplicar:
Utilizar para introduzir novos conhecimentos, contextualizar o desafio e construir entendimento coletivo.
Pode incluir uso de slides, vídeos curtos e discussões guiadas.
Objetivo:
Favorecer a compreensão conceitual e o pensamento crítico sobre o conteúdo apresentado.
2. Atividade Prática
O que é:
Execução de tarefas reais ou simuladas em laboratório, oficina ou ambiente controlado, em que o aluno aplica na prática o que aprendeu.
Como aplicar:
Propor atividades que exijam uso de ferramentas, instrumentos, softwares ou equipamentos, com foco no “aprender fazendo”.
Objetivo:
Desenvolver capacidades técnicas e procedimentais, promovendo a autonomia e a segurança na execução.
3. Trabalho em Grupo
O que é:
Estratégia que estimula a colaboração e o protagonismo entre os alunos, permitindo que construam soluções de forma coletiva.
Como aplicar:
Organizar grupos com papéis definidos (líder, relator, executor etc.), propondo desafios que demandem planejamento, debate e cooperação.
Objetivo:
Desenvolver competências socioemocionais, como comunicação, responsabilidade e empatia.
4. Dinâmica de Grupo
O que é:
Atividade interativa planejada para estimular o engajamento, a integração e a reflexão coletiva.
Como aplicar:
Usar no início da SA para integrar a turma ou durante o processo para refletir sobre atitudes e valores profissionais.
Objetivo:
Fortalecer o trabalho em equipe e a motivação para a aprendizagem.
5. Visita Técnica
O que é:
Vivência em ambiente profissional real, com observação e análise de processos, tecnologias e práticas de trabalho.
Como aplicar:
Planejar previamente os objetivos da visita e orientar os alunos a registrar observações técnicas.
Após a visita, promover uma discussão sobre o que foi aprendido.
Objetivo:
Relacionar teoria e prática, e desenvolver visão crítica sobre o mundo do trabalho.
6. Ensaio Tecnológico
O que é:
Atividade experimental em que os alunos realizam testes, medições e verificações técnicas para avaliar o desempenho de materiais, processos ou equipamentos.
Como aplicar:
Definir um protocolo de ensaio, orientar sobre instrumentos e normas técnicas, e analisar os resultados com a turma.
Objetivo:
Desenvolver raciocínio científico, precisão técnica e interpretação de dados.
7. Workshop
O que é:
Oficina prática e colaborativa voltada à experimentação de técnicas, tecnologias ou metodologias.
Como aplicar:
Organizar sessões curtas e objetivas, com atividades práticas e momentos de socialização dos resultados.
Objetivo:
Favorecer o intercâmbio de experiências e o aprimoramento técnico.
8. Seminário
O que é:
Apresentação oral de temas pelos alunos, seguida de discussão mediada pelo professor.
Como aplicar:
Propor pesquisas orientadas e apresentação dos resultados com base em critérios técnicos e científicos.
Objetivo:
Desenvolver comunicação técnica, autonomia intelectual e capacidade argumentativa.
9. Painel Temático
O que é:
Discussão estruturada de um tema relevante, com participação ativa dos alunos em papéis distintos (expositores, debatedores, mediadores).
Como aplicar:
Usar para aprofundar temas transversais ou analisar diferentes perspectivas sobre um mesmo problema.
Objetivo:
Estimular o pensamento crítico, a análise comparativa e o respeito à diversidade de ideias.
10. Gamificação
O que é:
Uso de elementos de jogos (pontos, missões, desafios, rankings) em contextos educacionais para estimular o engajamento e a motivação.
Como aplicar:
Criar missões ou desafios com recompensas simbólicas, competições saudáveis ou simulações gamificadas.
Objetivo:
Promover aprendizagem lúdica e motivação intrínseca para alcançar os resultados esperados.
11. Sala de Aula Invertida
O que é:
Metodologia em que o aluno estuda os conceitos teóricos antecipadamente (por meio de vídeos, textos, podcasts) e utiliza o tempo em sala para atividades práticas e discussões.
Como aplicar:
Disponibilizar conteúdos prévios, propor um desafio e, em sala, orientar a aplicação prática e resolução de problemas.
Objetivo:
Estimular a autonomia, autogestão da aprendizagem e o pensamento aplicado.
12. Design Thinking
O que é:
Metodologia centrada no ser humano, usada para resolver problemas complexos de forma criativa, colaborativa e empática.
Como aplicar:
Seguir as etapas: empatia → definição do problema → ideação → prototipagem → teste, aplicando-as a um desafio técnico real.
Objetivo:
Desenvolver pensamento criativo, solução de problemas e inovação tecnológica.
</text>
  </threadedComment>
  <threadedComment ref="L12" dT="2025-11-07T17:25:49.20" personId="{F55B749B-2620-407C-9E00-BF53CC765699}" id="{575D95E2-1F4E-48D9-B172-97EE8A21BEF6}">
    <text xml:space="preserve">1. Avaliação
O que é:
Processo contínuo e sistemático que permite verificar o desenvolvimento das capacidades, conhecimentos e atitudes dos alunos.
Como aplicar:
Pode ser diagnóstica (antes da SA), formativa (durante o processo) ou somativa (ao final). Deve estar vinculada aos critérios de desempenho definidos na Situação de Aprendizagem.
Objetivo:
Acompanhar a evolução do aluno e reorientar o processo de ensino e aprendizagem.
2. Fichas de Observação
O que é:
Instrumento utilizado pelo professor para registrar comportamentos, atitudes e desempenhos observáveis durante atividades práticas ou em grupo.
Como aplicar:
Elaborar fichas com critérios objetivos (ex.: organização, uso de ferramentas, cooperação, cumprimento de normas de segurança). Preencher ao longo da execução das atividades.
Objetivo:
Avaliar desempenho prático, postura profissional e atitudes de forma contínua e qualitativa.
3. Relatórios
O que é:
Documento elaborado pelo aluno ou grupo com a descrição técnica e analítica das atividades realizadas, resultados obtidos e conclusões.
Como aplicar:
Solicitar relatórios após ensaios, visitas técnicas, projetos ou experimentos, orientando a estrutura (introdução, desenvolvimento, análise e conclusão).
Objetivo:
Desenvolver comunicação técnica escrita, interpretação de resultados e capacidade reflexiva.
4. Portfólios
O que é:
Coletânea de evidências (relatórios, registros fotográficos, anotações, produtos e reflexões) que mostram a evolução do aprendizado ao longo do tempo.
Como aplicar:
Organizar os materiais por etapas ou Situações de Aprendizagem, incentivando o aluno a registrar seu progresso e autocrítica.
Objetivo:
Valorizar o processo de aprendizagem e não apenas o resultado final.
5. Provas Objetivas
O que é:
Instrumento composto por questões de múltipla escolha, verdadeiro ou falso, associação ou lacunas, com respostas previamente determinadas.
Como aplicar:
Utilizar para verificar assimilação conceitual e terminológica, especialmente em conteúdos teóricos ou de base técnica.
Objetivo:
Mensurar conhecimento factual e conceitual de forma rápida e padronizada.
6. Provas de Respostas Construídas
O que é:
Instrumento em que o aluno deve redigir respostas, justificar raciocínios ou propor soluções com base em situações-problema.
Como aplicar:
Apresentar questões abertas que exijam interpretação, argumentação e aplicação de conceitos técnicos.
Objetivo:
Avaliar raciocínio lógico, pensamento crítico e capacidade de resolver problemas.
7. Provas Práticas
O que é:
Avaliações realizadas em ambiente prático (laboratório, oficina ou campo), onde o aluno executa procedimentos técnicos e demonstra suas competências.
Como aplicar:
Definir tarefas ou desafios reais, com critérios de avaliação claros (execução correta, tempo, qualidade, segurança, organização).
Objetivo:
Comprovar domínio técnico e procedimental do aluno em situações reais de trabalho.
8. Autoavaliações
O que é:
Instrumento em que o aluno reflete sobre o próprio desempenho, identificando avanços, dificuldades e metas pessoais de aprendizagem.
Como aplicar:
Aplicar ao final da SA ou de cada etapa, com perguntas orientadoras (ex.: “O que aprendi?”, “Em que posso melhorar?”, “Como me senti durante a atividade?”).
Objetivo:
Promover autonomia, autocrítica e responsabilidade pelo próprio aprendizado.
</text>
  </threadedComment>
</ThreadedComments>
</file>

<file path=xl/threadedComments/threadedComment7.xml><?xml version="1.0" encoding="utf-8"?>
<ThreadedComments xmlns="http://schemas.microsoft.com/office/spreadsheetml/2018/threadedcomments" xmlns:x="http://schemas.openxmlformats.org/spreadsheetml/2006/main">
  <threadedComment ref="D3" dT="2025-11-10T17:27:36.68" personId="{F55B749B-2620-407C-9E00-BF53CC765699}" id="{0F6141C7-CE37-409F-8DA4-6B6C34DDBC19}">
    <text/>
  </threadedComment>
  <threadedComment ref="M3" dT="2025-10-28T16:25:13.16" personId="{F55B749B-2620-407C-9E00-BF53CC765699}" id="{60666780-B432-4E27-8210-70182B80669F}">
    <text xml:space="preserve">Distribuir em % o valor da avaliação de cada capacidade alcançada até a soma delas chegar em 100%.
</tex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 Id="rId4" Type="http://schemas.microsoft.com/office/2017/10/relationships/threadedComment" Target="../threadedComments/threadedComment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5996F-D8F1-4AB6-ABE0-C93F240626AD}">
  <sheetPr codeName="Planilha1"/>
  <dimension ref="A1:E20"/>
  <sheetViews>
    <sheetView workbookViewId="0">
      <selection activeCell="G19" sqref="G19"/>
    </sheetView>
  </sheetViews>
  <sheetFormatPr defaultRowHeight="15" x14ac:dyDescent="0.25"/>
  <cols>
    <col min="1" max="1" width="20.42578125" bestFit="1" customWidth="1"/>
    <col min="2" max="2" width="40.5703125" customWidth="1"/>
    <col min="3" max="3" width="28" bestFit="1" customWidth="1"/>
    <col min="4" max="4" width="13.140625" customWidth="1"/>
  </cols>
  <sheetData>
    <row r="1" spans="1:5" x14ac:dyDescent="0.25">
      <c r="A1" t="s">
        <v>0</v>
      </c>
      <c r="B1" t="s">
        <v>1</v>
      </c>
      <c r="C1" t="s">
        <v>2</v>
      </c>
      <c r="D1" t="s">
        <v>3</v>
      </c>
      <c r="E1" t="s">
        <v>4</v>
      </c>
    </row>
    <row r="2" spans="1:5" x14ac:dyDescent="0.25">
      <c r="A2" t="s">
        <v>5</v>
      </c>
      <c r="B2" t="s">
        <v>6</v>
      </c>
      <c r="C2" t="s">
        <v>7</v>
      </c>
      <c r="D2" t="s">
        <v>8</v>
      </c>
      <c r="E2" t="s">
        <v>9</v>
      </c>
    </row>
    <row r="3" spans="1:5" x14ac:dyDescent="0.25">
      <c r="A3" t="s">
        <v>10</v>
      </c>
      <c r="B3" t="s">
        <v>11</v>
      </c>
      <c r="C3" t="s">
        <v>12</v>
      </c>
      <c r="D3" t="s">
        <v>13</v>
      </c>
      <c r="E3" t="s">
        <v>14</v>
      </c>
    </row>
    <row r="4" spans="1:5" x14ac:dyDescent="0.25">
      <c r="A4" t="s">
        <v>15</v>
      </c>
      <c r="B4" t="s">
        <v>16</v>
      </c>
      <c r="C4" t="s">
        <v>17</v>
      </c>
      <c r="D4" t="s">
        <v>18</v>
      </c>
      <c r="E4" t="s">
        <v>19</v>
      </c>
    </row>
    <row r="5" spans="1:5" x14ac:dyDescent="0.25">
      <c r="A5" t="s">
        <v>20</v>
      </c>
      <c r="B5" t="s">
        <v>21</v>
      </c>
      <c r="C5" t="s">
        <v>22</v>
      </c>
      <c r="D5" t="s">
        <v>23</v>
      </c>
      <c r="E5" t="s">
        <v>24</v>
      </c>
    </row>
    <row r="6" spans="1:5" x14ac:dyDescent="0.25">
      <c r="A6" t="s">
        <v>25</v>
      </c>
      <c r="B6" t="s">
        <v>26</v>
      </c>
      <c r="C6" t="s">
        <v>27</v>
      </c>
      <c r="D6" t="s">
        <v>28</v>
      </c>
      <c r="E6" t="s">
        <v>29</v>
      </c>
    </row>
    <row r="7" spans="1:5" x14ac:dyDescent="0.25">
      <c r="A7" t="s">
        <v>30</v>
      </c>
      <c r="B7" t="s">
        <v>31</v>
      </c>
      <c r="C7" t="s">
        <v>32</v>
      </c>
      <c r="D7" t="s">
        <v>33</v>
      </c>
      <c r="E7" t="s">
        <v>34</v>
      </c>
    </row>
    <row r="8" spans="1:5" x14ac:dyDescent="0.25">
      <c r="A8" t="s">
        <v>35</v>
      </c>
      <c r="B8" t="s">
        <v>36</v>
      </c>
      <c r="C8" t="s">
        <v>37</v>
      </c>
      <c r="D8" t="s">
        <v>38</v>
      </c>
      <c r="E8" t="s">
        <v>39</v>
      </c>
    </row>
    <row r="9" spans="1:5" x14ac:dyDescent="0.25">
      <c r="A9" t="s">
        <v>40</v>
      </c>
      <c r="B9" t="s">
        <v>41</v>
      </c>
      <c r="C9" t="s">
        <v>42</v>
      </c>
      <c r="D9" t="s">
        <v>43</v>
      </c>
      <c r="E9" t="s">
        <v>44</v>
      </c>
    </row>
    <row r="10" spans="1:5" x14ac:dyDescent="0.25">
      <c r="A10" t="s">
        <v>45</v>
      </c>
      <c r="D10" t="s">
        <v>46</v>
      </c>
      <c r="E10" t="s">
        <v>47</v>
      </c>
    </row>
    <row r="11" spans="1:5" x14ac:dyDescent="0.25">
      <c r="A11" t="s">
        <v>48</v>
      </c>
      <c r="E11" t="s">
        <v>49</v>
      </c>
    </row>
    <row r="12" spans="1:5" x14ac:dyDescent="0.25">
      <c r="A12" t="s">
        <v>50</v>
      </c>
      <c r="E12" t="s">
        <v>51</v>
      </c>
    </row>
    <row r="13" spans="1:5" x14ac:dyDescent="0.25">
      <c r="A13" t="s">
        <v>52</v>
      </c>
      <c r="E13" t="s">
        <v>53</v>
      </c>
    </row>
    <row r="14" spans="1:5" x14ac:dyDescent="0.25">
      <c r="E14" t="s">
        <v>54</v>
      </c>
    </row>
    <row r="15" spans="1:5" x14ac:dyDescent="0.25">
      <c r="E15" t="s">
        <v>55</v>
      </c>
    </row>
    <row r="16" spans="1:5" x14ac:dyDescent="0.25">
      <c r="E16" t="s">
        <v>56</v>
      </c>
    </row>
    <row r="17" spans="5:5" x14ac:dyDescent="0.25">
      <c r="E17" t="s">
        <v>57</v>
      </c>
    </row>
    <row r="18" spans="5:5" x14ac:dyDescent="0.25">
      <c r="E18" t="s">
        <v>58</v>
      </c>
    </row>
    <row r="19" spans="5:5" x14ac:dyDescent="0.25">
      <c r="E19" t="s">
        <v>59</v>
      </c>
    </row>
    <row r="20" spans="5:5" x14ac:dyDescent="0.25">
      <c r="E20" t="s">
        <v>60</v>
      </c>
    </row>
  </sheetData>
  <phoneticPr fontId="10" type="noConversion"/>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FB4BE-010E-4B1B-A725-313522E2142F}">
  <sheetPr codeName="Planilha4">
    <tabColor theme="6" tint="-0.499984740745262"/>
  </sheetPr>
  <dimension ref="B1:W53"/>
  <sheetViews>
    <sheetView showGridLines="0" topLeftCell="A4" zoomScale="70" zoomScaleNormal="70" workbookViewId="0">
      <selection activeCell="D7" sqref="D7:G7"/>
    </sheetView>
  </sheetViews>
  <sheetFormatPr defaultColWidth="9.28515625" defaultRowHeight="18.75" customHeight="1" x14ac:dyDescent="0.25"/>
  <cols>
    <col min="1" max="1" width="2.28515625" style="4" customWidth="1"/>
    <col min="2" max="2" width="14.42578125" style="4" customWidth="1"/>
    <col min="3" max="3" width="36.140625" style="4" customWidth="1"/>
    <col min="4" max="4" width="25.7109375" style="4" customWidth="1"/>
    <col min="5" max="5" width="39.140625" style="4" customWidth="1"/>
    <col min="6" max="6" width="27.140625" style="4" customWidth="1"/>
    <col min="7" max="7" width="39.5703125" style="4" customWidth="1"/>
    <col min="8" max="8" width="39.85546875" style="4" customWidth="1"/>
    <col min="9" max="9" width="21.140625" style="4" customWidth="1"/>
    <col min="10" max="10" width="40.28515625" style="4" customWidth="1"/>
    <col min="11" max="11" width="15.28515625" style="4" customWidth="1"/>
    <col min="12" max="12" width="9.7109375" style="4" customWidth="1"/>
    <col min="13" max="13" width="42.42578125" style="4" customWidth="1"/>
    <col min="14" max="14" width="63.42578125" style="4" customWidth="1"/>
    <col min="15" max="15" width="32.5703125" style="4" customWidth="1"/>
    <col min="16" max="16384" width="9.28515625" style="4"/>
  </cols>
  <sheetData>
    <row r="1" spans="2:23" ht="13.5" customHeight="1" x14ac:dyDescent="0.25"/>
    <row r="2" spans="2:23" ht="96.6" customHeight="1" x14ac:dyDescent="0.25">
      <c r="B2" s="79" t="s">
        <v>61</v>
      </c>
      <c r="C2" s="80"/>
      <c r="D2" s="80"/>
      <c r="E2" s="80"/>
      <c r="F2" s="80"/>
      <c r="G2" s="43"/>
      <c r="H2" s="43"/>
      <c r="I2" s="43"/>
      <c r="J2" s="43"/>
      <c r="K2" s="5"/>
      <c r="L2" s="5"/>
      <c r="M2" s="6"/>
      <c r="N2" s="7"/>
      <c r="O2" s="8"/>
    </row>
    <row r="3" spans="2:23" ht="8.25" customHeight="1" x14ac:dyDescent="0.25">
      <c r="B3" s="76"/>
      <c r="C3" s="76"/>
      <c r="D3" s="76"/>
      <c r="E3" s="76"/>
      <c r="F3" s="76"/>
      <c r="G3" s="76"/>
      <c r="H3" s="76"/>
      <c r="I3" s="76"/>
      <c r="J3" s="76"/>
      <c r="K3" s="76"/>
      <c r="L3" s="76"/>
      <c r="M3" s="77"/>
      <c r="N3" s="10"/>
      <c r="O3" s="8"/>
    </row>
    <row r="4" spans="2:23" ht="37.9" customHeight="1" x14ac:dyDescent="0.25">
      <c r="B4" s="9" t="s">
        <v>62</v>
      </c>
      <c r="C4" s="96"/>
      <c r="D4" s="97"/>
      <c r="E4" s="97"/>
      <c r="F4" s="97"/>
      <c r="G4" s="11" t="s">
        <v>63</v>
      </c>
      <c r="H4" s="23"/>
      <c r="I4" s="11" t="s">
        <v>64</v>
      </c>
      <c r="J4" s="103"/>
      <c r="K4" s="103"/>
      <c r="L4" s="103"/>
      <c r="M4" s="96"/>
      <c r="N4" s="10"/>
      <c r="O4" s="8"/>
    </row>
    <row r="5" spans="2:23" ht="37.9" customHeight="1" x14ac:dyDescent="0.25">
      <c r="B5" s="11" t="s">
        <v>65</v>
      </c>
      <c r="C5" s="12"/>
      <c r="D5" s="101"/>
      <c r="E5" s="101"/>
      <c r="F5" s="102"/>
      <c r="G5" s="11" t="s">
        <v>66</v>
      </c>
      <c r="H5" s="24"/>
      <c r="I5" s="11" t="s">
        <v>67</v>
      </c>
      <c r="J5" s="104"/>
      <c r="K5" s="104"/>
      <c r="L5" s="104"/>
      <c r="M5" s="105"/>
      <c r="N5" s="10"/>
      <c r="O5" s="8"/>
      <c r="V5" s="15"/>
      <c r="W5" s="16"/>
    </row>
    <row r="6" spans="2:23" ht="37.9" customHeight="1" x14ac:dyDescent="0.25">
      <c r="B6" s="98" t="s">
        <v>68</v>
      </c>
      <c r="C6" s="98"/>
      <c r="D6" s="25"/>
      <c r="E6" s="9" t="s">
        <v>69</v>
      </c>
      <c r="F6" s="26"/>
      <c r="G6" s="11" t="s">
        <v>70</v>
      </c>
      <c r="H6" s="34"/>
      <c r="I6" s="28"/>
      <c r="K6" s="13"/>
      <c r="L6" s="13"/>
      <c r="M6" s="14"/>
      <c r="N6" s="10"/>
    </row>
    <row r="7" spans="2:23" ht="37.9" customHeight="1" x14ac:dyDescent="0.25">
      <c r="B7" s="98" t="s">
        <v>71</v>
      </c>
      <c r="C7" s="98"/>
      <c r="D7" s="99"/>
      <c r="E7" s="99"/>
      <c r="F7" s="99"/>
      <c r="G7" s="99"/>
      <c r="H7" s="83" t="s">
        <v>72</v>
      </c>
      <c r="I7" s="84"/>
      <c r="J7" s="100"/>
      <c r="K7" s="100"/>
      <c r="L7" s="100"/>
      <c r="M7" s="100"/>
      <c r="N7" s="10"/>
    </row>
    <row r="8" spans="2:23" ht="37.9" customHeight="1" x14ac:dyDescent="0.25">
      <c r="B8" s="90" t="s">
        <v>73</v>
      </c>
      <c r="C8" s="91"/>
      <c r="D8" s="85"/>
      <c r="E8" s="86"/>
      <c r="F8" s="11" t="s">
        <v>74</v>
      </c>
      <c r="G8" s="27"/>
      <c r="H8" s="18" t="s">
        <v>75</v>
      </c>
      <c r="I8" s="29"/>
      <c r="J8" s="18" t="s">
        <v>76</v>
      </c>
      <c r="K8" s="93"/>
      <c r="L8" s="94"/>
      <c r="M8" s="95"/>
      <c r="N8" s="17"/>
    </row>
    <row r="9" spans="2:23" ht="7.5" customHeight="1" x14ac:dyDescent="0.25">
      <c r="B9" s="78"/>
      <c r="C9" s="78"/>
      <c r="D9" s="78"/>
      <c r="E9" s="78"/>
      <c r="F9" s="78"/>
      <c r="G9" s="78"/>
      <c r="H9" s="78"/>
      <c r="I9" s="78"/>
      <c r="J9" s="78"/>
      <c r="K9" s="78"/>
      <c r="L9" s="78"/>
      <c r="M9" s="78"/>
      <c r="N9" s="78"/>
    </row>
    <row r="10" spans="2:23" ht="47.25" customHeight="1" x14ac:dyDescent="0.25">
      <c r="B10" s="87" t="s">
        <v>77</v>
      </c>
      <c r="C10" s="88"/>
      <c r="D10" s="88"/>
      <c r="E10" s="88"/>
      <c r="F10" s="88"/>
      <c r="G10" s="88"/>
      <c r="H10" s="88"/>
      <c r="I10" s="88"/>
      <c r="J10" s="88"/>
      <c r="K10" s="88"/>
      <c r="L10" s="88"/>
      <c r="M10" s="88"/>
      <c r="N10" s="89"/>
    </row>
    <row r="11" spans="2:23" ht="37.9" customHeight="1" x14ac:dyDescent="0.25">
      <c r="B11" s="92" t="s">
        <v>78</v>
      </c>
      <c r="C11" s="81"/>
      <c r="D11" s="81"/>
      <c r="E11" s="81"/>
      <c r="F11" s="81"/>
      <c r="G11" s="81"/>
      <c r="H11" s="81"/>
      <c r="I11" s="81" t="s">
        <v>79</v>
      </c>
      <c r="J11" s="81"/>
      <c r="K11" s="81"/>
      <c r="L11" s="81"/>
      <c r="M11" s="81"/>
      <c r="N11" s="82"/>
    </row>
    <row r="12" spans="2:23" ht="33.950000000000003" customHeight="1" x14ac:dyDescent="0.25">
      <c r="B12" s="64"/>
      <c r="C12" s="65"/>
      <c r="D12" s="65"/>
      <c r="E12" s="65"/>
      <c r="F12" s="65"/>
      <c r="G12" s="65"/>
      <c r="H12" s="66"/>
      <c r="I12" s="64"/>
      <c r="J12" s="65"/>
      <c r="K12" s="65"/>
      <c r="L12" s="65"/>
      <c r="M12" s="65"/>
      <c r="N12" s="66"/>
    </row>
    <row r="13" spans="2:23" ht="33.950000000000003" customHeight="1" x14ac:dyDescent="0.25">
      <c r="B13" s="67"/>
      <c r="C13" s="68"/>
      <c r="D13" s="68"/>
      <c r="E13" s="68"/>
      <c r="F13" s="68"/>
      <c r="G13" s="68"/>
      <c r="H13" s="69"/>
      <c r="I13" s="67"/>
      <c r="J13" s="68"/>
      <c r="K13" s="68"/>
      <c r="L13" s="68"/>
      <c r="M13" s="68"/>
      <c r="N13" s="69"/>
    </row>
    <row r="14" spans="2:23" ht="33.950000000000003" customHeight="1" x14ac:dyDescent="0.25">
      <c r="B14" s="67"/>
      <c r="C14" s="68"/>
      <c r="D14" s="68"/>
      <c r="E14" s="68"/>
      <c r="F14" s="68"/>
      <c r="G14" s="68"/>
      <c r="H14" s="69"/>
      <c r="I14" s="67"/>
      <c r="J14" s="68"/>
      <c r="K14" s="68"/>
      <c r="L14" s="68"/>
      <c r="M14" s="68"/>
      <c r="N14" s="69"/>
    </row>
    <row r="15" spans="2:23" ht="33.950000000000003" customHeight="1" x14ac:dyDescent="0.25">
      <c r="B15" s="67"/>
      <c r="C15" s="68"/>
      <c r="D15" s="68"/>
      <c r="E15" s="68"/>
      <c r="F15" s="68"/>
      <c r="G15" s="68"/>
      <c r="H15" s="69"/>
      <c r="I15" s="67"/>
      <c r="J15" s="68"/>
      <c r="K15" s="68"/>
      <c r="L15" s="68"/>
      <c r="M15" s="68"/>
      <c r="N15" s="69"/>
    </row>
    <row r="16" spans="2:23" ht="33.950000000000003" customHeight="1" x14ac:dyDescent="0.25">
      <c r="B16" s="67"/>
      <c r="C16" s="68"/>
      <c r="D16" s="68"/>
      <c r="E16" s="68"/>
      <c r="F16" s="68"/>
      <c r="G16" s="68"/>
      <c r="H16" s="69"/>
      <c r="I16" s="67"/>
      <c r="J16" s="68"/>
      <c r="K16" s="68"/>
      <c r="L16" s="68"/>
      <c r="M16" s="68"/>
      <c r="N16" s="69"/>
    </row>
    <row r="17" spans="2:14" ht="33.950000000000003" customHeight="1" x14ac:dyDescent="0.25">
      <c r="B17" s="67"/>
      <c r="C17" s="68"/>
      <c r="D17" s="68"/>
      <c r="E17" s="68"/>
      <c r="F17" s="68"/>
      <c r="G17" s="68"/>
      <c r="H17" s="69"/>
      <c r="I17" s="67"/>
      <c r="J17" s="68"/>
      <c r="K17" s="68"/>
      <c r="L17" s="68"/>
      <c r="M17" s="68"/>
      <c r="N17" s="69"/>
    </row>
    <row r="18" spans="2:14" ht="33.950000000000003" customHeight="1" x14ac:dyDescent="0.25">
      <c r="B18" s="67"/>
      <c r="C18" s="68"/>
      <c r="D18" s="68"/>
      <c r="E18" s="68"/>
      <c r="F18" s="68"/>
      <c r="G18" s="68"/>
      <c r="H18" s="69"/>
      <c r="I18" s="67"/>
      <c r="J18" s="68"/>
      <c r="K18" s="68"/>
      <c r="L18" s="68"/>
      <c r="M18" s="68"/>
      <c r="N18" s="69"/>
    </row>
    <row r="19" spans="2:14" ht="33.950000000000003" customHeight="1" x14ac:dyDescent="0.25">
      <c r="B19" s="67"/>
      <c r="C19" s="68"/>
      <c r="D19" s="68"/>
      <c r="E19" s="68"/>
      <c r="F19" s="68"/>
      <c r="G19" s="68"/>
      <c r="H19" s="69"/>
      <c r="I19" s="67"/>
      <c r="J19" s="68"/>
      <c r="K19" s="68"/>
      <c r="L19" s="68"/>
      <c r="M19" s="68"/>
      <c r="N19" s="69"/>
    </row>
    <row r="20" spans="2:14" ht="33.950000000000003" customHeight="1" x14ac:dyDescent="0.25">
      <c r="B20" s="67"/>
      <c r="C20" s="68"/>
      <c r="D20" s="68"/>
      <c r="E20" s="68"/>
      <c r="F20" s="68"/>
      <c r="G20" s="68"/>
      <c r="H20" s="69"/>
      <c r="I20" s="67"/>
      <c r="J20" s="68"/>
      <c r="K20" s="68"/>
      <c r="L20" s="68"/>
      <c r="M20" s="68"/>
      <c r="N20" s="69"/>
    </row>
    <row r="21" spans="2:14" ht="33.950000000000003" customHeight="1" x14ac:dyDescent="0.25">
      <c r="B21" s="67"/>
      <c r="C21" s="68"/>
      <c r="D21" s="68"/>
      <c r="E21" s="68"/>
      <c r="F21" s="68"/>
      <c r="G21" s="68"/>
      <c r="H21" s="69"/>
      <c r="I21" s="67"/>
      <c r="J21" s="68"/>
      <c r="K21" s="68"/>
      <c r="L21" s="68"/>
      <c r="M21" s="68"/>
      <c r="N21" s="69"/>
    </row>
    <row r="22" spans="2:14" ht="33.950000000000003" customHeight="1" x14ac:dyDescent="0.25">
      <c r="B22" s="67"/>
      <c r="C22" s="68"/>
      <c r="D22" s="68"/>
      <c r="E22" s="68"/>
      <c r="F22" s="68"/>
      <c r="G22" s="68"/>
      <c r="H22" s="69"/>
      <c r="I22" s="67"/>
      <c r="J22" s="68"/>
      <c r="K22" s="68"/>
      <c r="L22" s="68"/>
      <c r="M22" s="68"/>
      <c r="N22" s="69"/>
    </row>
    <row r="23" spans="2:14" ht="33.950000000000003" customHeight="1" x14ac:dyDescent="0.25">
      <c r="B23" s="67"/>
      <c r="C23" s="68"/>
      <c r="D23" s="68"/>
      <c r="E23" s="68"/>
      <c r="F23" s="68"/>
      <c r="G23" s="68"/>
      <c r="H23" s="69"/>
      <c r="I23" s="67"/>
      <c r="J23" s="68"/>
      <c r="K23" s="68"/>
      <c r="L23" s="68"/>
      <c r="M23" s="68"/>
      <c r="N23" s="69"/>
    </row>
    <row r="24" spans="2:14" ht="33.950000000000003" customHeight="1" x14ac:dyDescent="0.25">
      <c r="B24" s="67"/>
      <c r="C24" s="68"/>
      <c r="D24" s="68"/>
      <c r="E24" s="68"/>
      <c r="F24" s="68"/>
      <c r="G24" s="68"/>
      <c r="H24" s="69"/>
      <c r="I24" s="67"/>
      <c r="J24" s="68"/>
      <c r="K24" s="68"/>
      <c r="L24" s="68"/>
      <c r="M24" s="68"/>
      <c r="N24" s="69"/>
    </row>
    <row r="25" spans="2:14" ht="33.950000000000003" customHeight="1" x14ac:dyDescent="0.25">
      <c r="B25" s="67"/>
      <c r="C25" s="68"/>
      <c r="D25" s="68"/>
      <c r="E25" s="68"/>
      <c r="F25" s="68"/>
      <c r="G25" s="68"/>
      <c r="H25" s="69"/>
      <c r="I25" s="67"/>
      <c r="J25" s="68"/>
      <c r="K25" s="68"/>
      <c r="L25" s="68"/>
      <c r="M25" s="68"/>
      <c r="N25" s="69"/>
    </row>
    <row r="26" spans="2:14" ht="33.950000000000003" customHeight="1" x14ac:dyDescent="0.25">
      <c r="B26" s="67"/>
      <c r="C26" s="68"/>
      <c r="D26" s="68"/>
      <c r="E26" s="68"/>
      <c r="F26" s="68"/>
      <c r="G26" s="68"/>
      <c r="H26" s="69"/>
      <c r="I26" s="67"/>
      <c r="J26" s="68"/>
      <c r="K26" s="68"/>
      <c r="L26" s="68"/>
      <c r="M26" s="68"/>
      <c r="N26" s="69"/>
    </row>
    <row r="27" spans="2:14" ht="33.950000000000003" customHeight="1" x14ac:dyDescent="0.25">
      <c r="B27" s="67"/>
      <c r="C27" s="68"/>
      <c r="D27" s="68"/>
      <c r="E27" s="68"/>
      <c r="F27" s="68"/>
      <c r="G27" s="68"/>
      <c r="H27" s="69"/>
      <c r="I27" s="67"/>
      <c r="J27" s="68"/>
      <c r="K27" s="68"/>
      <c r="L27" s="68"/>
      <c r="M27" s="68"/>
      <c r="N27" s="69"/>
    </row>
    <row r="28" spans="2:14" ht="33.950000000000003" customHeight="1" x14ac:dyDescent="0.25">
      <c r="B28" s="67"/>
      <c r="C28" s="68"/>
      <c r="D28" s="68"/>
      <c r="E28" s="68"/>
      <c r="F28" s="68"/>
      <c r="G28" s="68"/>
      <c r="H28" s="69"/>
      <c r="I28" s="67"/>
      <c r="J28" s="68"/>
      <c r="K28" s="68"/>
      <c r="L28" s="68"/>
      <c r="M28" s="68"/>
      <c r="N28" s="69"/>
    </row>
    <row r="29" spans="2:14" ht="33.950000000000003" customHeight="1" x14ac:dyDescent="0.25">
      <c r="B29" s="67"/>
      <c r="C29" s="68"/>
      <c r="D29" s="68"/>
      <c r="E29" s="68"/>
      <c r="F29" s="68"/>
      <c r="G29" s="68"/>
      <c r="H29" s="69"/>
      <c r="I29" s="67"/>
      <c r="J29" s="68"/>
      <c r="K29" s="68"/>
      <c r="L29" s="68"/>
      <c r="M29" s="68"/>
      <c r="N29" s="69"/>
    </row>
    <row r="30" spans="2:14" ht="33.950000000000003" customHeight="1" x14ac:dyDescent="0.25">
      <c r="B30" s="67"/>
      <c r="C30" s="68"/>
      <c r="D30" s="68"/>
      <c r="E30" s="68"/>
      <c r="F30" s="68"/>
      <c r="G30" s="68"/>
      <c r="H30" s="69"/>
      <c r="I30" s="67"/>
      <c r="J30" s="68"/>
      <c r="K30" s="68"/>
      <c r="L30" s="68"/>
      <c r="M30" s="68"/>
      <c r="N30" s="69"/>
    </row>
    <row r="31" spans="2:14" ht="33.950000000000003" customHeight="1" x14ac:dyDescent="0.25">
      <c r="B31" s="67"/>
      <c r="C31" s="68"/>
      <c r="D31" s="68"/>
      <c r="E31" s="68"/>
      <c r="F31" s="68"/>
      <c r="G31" s="68"/>
      <c r="H31" s="69"/>
      <c r="I31" s="67"/>
      <c r="J31" s="68"/>
      <c r="K31" s="68"/>
      <c r="L31" s="68"/>
      <c r="M31" s="68"/>
      <c r="N31" s="69"/>
    </row>
    <row r="32" spans="2:14" ht="33.950000000000003" customHeight="1" x14ac:dyDescent="0.25">
      <c r="B32" s="67"/>
      <c r="C32" s="68"/>
      <c r="D32" s="68"/>
      <c r="E32" s="68"/>
      <c r="F32" s="68"/>
      <c r="G32" s="68"/>
      <c r="H32" s="69"/>
      <c r="I32" s="67"/>
      <c r="J32" s="68"/>
      <c r="K32" s="68"/>
      <c r="L32" s="68"/>
      <c r="M32" s="68"/>
      <c r="N32" s="69"/>
    </row>
    <row r="33" spans="2:14" ht="33.950000000000003" customHeight="1" x14ac:dyDescent="0.25">
      <c r="B33" s="67"/>
      <c r="C33" s="68"/>
      <c r="D33" s="68"/>
      <c r="E33" s="68"/>
      <c r="F33" s="68"/>
      <c r="G33" s="68"/>
      <c r="H33" s="69"/>
      <c r="I33" s="67"/>
      <c r="J33" s="68"/>
      <c r="K33" s="68"/>
      <c r="L33" s="68"/>
      <c r="M33" s="68"/>
      <c r="N33" s="69"/>
    </row>
    <row r="34" spans="2:14" ht="33.950000000000003" customHeight="1" x14ac:dyDescent="0.25">
      <c r="B34" s="67"/>
      <c r="C34" s="68"/>
      <c r="D34" s="68"/>
      <c r="E34" s="68"/>
      <c r="F34" s="68"/>
      <c r="G34" s="68"/>
      <c r="H34" s="69"/>
      <c r="I34" s="67"/>
      <c r="J34" s="68"/>
      <c r="K34" s="68"/>
      <c r="L34" s="68"/>
      <c r="M34" s="68"/>
      <c r="N34" s="69"/>
    </row>
    <row r="35" spans="2:14" ht="33.950000000000003" customHeight="1" x14ac:dyDescent="0.25">
      <c r="B35" s="67"/>
      <c r="C35" s="68"/>
      <c r="D35" s="68"/>
      <c r="E35" s="68"/>
      <c r="F35" s="68"/>
      <c r="G35" s="68"/>
      <c r="H35" s="69"/>
      <c r="I35" s="67"/>
      <c r="J35" s="68"/>
      <c r="K35" s="68"/>
      <c r="L35" s="68"/>
      <c r="M35" s="68"/>
      <c r="N35" s="69"/>
    </row>
    <row r="36" spans="2:14" ht="33.950000000000003" customHeight="1" x14ac:dyDescent="0.25">
      <c r="B36" s="67"/>
      <c r="C36" s="68"/>
      <c r="D36" s="68"/>
      <c r="E36" s="68"/>
      <c r="F36" s="68"/>
      <c r="G36" s="68"/>
      <c r="H36" s="69"/>
      <c r="I36" s="67"/>
      <c r="J36" s="68"/>
      <c r="K36" s="68"/>
      <c r="L36" s="68"/>
      <c r="M36" s="68"/>
      <c r="N36" s="69"/>
    </row>
    <row r="37" spans="2:14" ht="33.950000000000003" customHeight="1" x14ac:dyDescent="0.25">
      <c r="B37" s="67"/>
      <c r="C37" s="68"/>
      <c r="D37" s="68"/>
      <c r="E37" s="68"/>
      <c r="F37" s="68"/>
      <c r="G37" s="68"/>
      <c r="H37" s="69"/>
      <c r="I37" s="67"/>
      <c r="J37" s="68"/>
      <c r="K37" s="68"/>
      <c r="L37" s="68"/>
      <c r="M37" s="68"/>
      <c r="N37" s="69"/>
    </row>
    <row r="38" spans="2:14" ht="33.950000000000003" customHeight="1" x14ac:dyDescent="0.25">
      <c r="B38" s="67"/>
      <c r="C38" s="68"/>
      <c r="D38" s="68"/>
      <c r="E38" s="68"/>
      <c r="F38" s="68"/>
      <c r="G38" s="68"/>
      <c r="H38" s="69"/>
      <c r="I38" s="67"/>
      <c r="J38" s="68"/>
      <c r="K38" s="68"/>
      <c r="L38" s="68"/>
      <c r="M38" s="68"/>
      <c r="N38" s="69"/>
    </row>
    <row r="39" spans="2:14" ht="33.950000000000003" customHeight="1" x14ac:dyDescent="0.25">
      <c r="B39" s="67"/>
      <c r="C39" s="68"/>
      <c r="D39" s="68"/>
      <c r="E39" s="68"/>
      <c r="F39" s="68"/>
      <c r="G39" s="68"/>
      <c r="H39" s="69"/>
      <c r="I39" s="67"/>
      <c r="J39" s="68"/>
      <c r="K39" s="68"/>
      <c r="L39" s="68"/>
      <c r="M39" s="68"/>
      <c r="N39" s="69"/>
    </row>
    <row r="40" spans="2:14" ht="33.950000000000003" customHeight="1" x14ac:dyDescent="0.25">
      <c r="B40" s="67"/>
      <c r="C40" s="68"/>
      <c r="D40" s="68"/>
      <c r="E40" s="68"/>
      <c r="F40" s="68"/>
      <c r="G40" s="68"/>
      <c r="H40" s="69"/>
      <c r="I40" s="67"/>
      <c r="J40" s="68"/>
      <c r="K40" s="68"/>
      <c r="L40" s="68"/>
      <c r="M40" s="68"/>
      <c r="N40" s="69"/>
    </row>
    <row r="41" spans="2:14" ht="33.950000000000003" customHeight="1" x14ac:dyDescent="0.25">
      <c r="B41" s="67"/>
      <c r="C41" s="68"/>
      <c r="D41" s="68"/>
      <c r="E41" s="68"/>
      <c r="F41" s="68"/>
      <c r="G41" s="68"/>
      <c r="H41" s="69"/>
      <c r="I41" s="67"/>
      <c r="J41" s="68"/>
      <c r="K41" s="68"/>
      <c r="L41" s="68"/>
      <c r="M41" s="68"/>
      <c r="N41" s="69"/>
    </row>
    <row r="42" spans="2:14" ht="33.950000000000003" customHeight="1" x14ac:dyDescent="0.25">
      <c r="B42" s="67"/>
      <c r="C42" s="68"/>
      <c r="D42" s="68"/>
      <c r="E42" s="68"/>
      <c r="F42" s="68"/>
      <c r="G42" s="68"/>
      <c r="H42" s="69"/>
      <c r="I42" s="67"/>
      <c r="J42" s="68"/>
      <c r="K42" s="68"/>
      <c r="L42" s="68"/>
      <c r="M42" s="68"/>
      <c r="N42" s="69"/>
    </row>
    <row r="43" spans="2:14" ht="33.950000000000003" customHeight="1" x14ac:dyDescent="0.25">
      <c r="B43" s="70"/>
      <c r="C43" s="71"/>
      <c r="D43" s="71"/>
      <c r="E43" s="71"/>
      <c r="F43" s="71"/>
      <c r="G43" s="71"/>
      <c r="H43" s="72"/>
      <c r="I43" s="67"/>
      <c r="J43" s="68"/>
      <c r="K43" s="68"/>
      <c r="L43" s="68"/>
      <c r="M43" s="68"/>
      <c r="N43" s="69"/>
    </row>
    <row r="44" spans="2:14" ht="33.950000000000003" customHeight="1" x14ac:dyDescent="0.25">
      <c r="B44" s="73" t="s">
        <v>80</v>
      </c>
      <c r="C44" s="74"/>
      <c r="D44" s="74"/>
      <c r="E44" s="74"/>
      <c r="F44" s="74"/>
      <c r="G44" s="74"/>
      <c r="H44" s="75"/>
      <c r="I44" s="67"/>
      <c r="J44" s="68"/>
      <c r="K44" s="68"/>
      <c r="L44" s="68"/>
      <c r="M44" s="68"/>
      <c r="N44" s="69"/>
    </row>
    <row r="45" spans="2:14" ht="33.950000000000003" customHeight="1" x14ac:dyDescent="0.25">
      <c r="B45" s="64"/>
      <c r="C45" s="65"/>
      <c r="D45" s="65"/>
      <c r="E45" s="65"/>
      <c r="F45" s="65"/>
      <c r="G45" s="65"/>
      <c r="H45" s="66"/>
      <c r="I45" s="67"/>
      <c r="J45" s="68"/>
      <c r="K45" s="68"/>
      <c r="L45" s="68"/>
      <c r="M45" s="68"/>
      <c r="N45" s="69"/>
    </row>
    <row r="46" spans="2:14" ht="33.950000000000003" customHeight="1" x14ac:dyDescent="0.25">
      <c r="B46" s="67"/>
      <c r="C46" s="68"/>
      <c r="D46" s="68"/>
      <c r="E46" s="68"/>
      <c r="F46" s="68"/>
      <c r="G46" s="68"/>
      <c r="H46" s="69"/>
      <c r="I46" s="67"/>
      <c r="J46" s="68"/>
      <c r="K46" s="68"/>
      <c r="L46" s="68"/>
      <c r="M46" s="68"/>
      <c r="N46" s="69"/>
    </row>
    <row r="47" spans="2:14" ht="33.950000000000003" customHeight="1" x14ac:dyDescent="0.25">
      <c r="B47" s="67"/>
      <c r="C47" s="68"/>
      <c r="D47" s="68"/>
      <c r="E47" s="68"/>
      <c r="F47" s="68"/>
      <c r="G47" s="68"/>
      <c r="H47" s="69"/>
      <c r="I47" s="67"/>
      <c r="J47" s="68"/>
      <c r="K47" s="68"/>
      <c r="L47" s="68"/>
      <c r="M47" s="68"/>
      <c r="N47" s="69"/>
    </row>
    <row r="48" spans="2:14" ht="33.950000000000003" customHeight="1" x14ac:dyDescent="0.25">
      <c r="B48" s="67"/>
      <c r="C48" s="68"/>
      <c r="D48" s="68"/>
      <c r="E48" s="68"/>
      <c r="F48" s="68"/>
      <c r="G48" s="68"/>
      <c r="H48" s="69"/>
      <c r="I48" s="67"/>
      <c r="J48" s="68"/>
      <c r="K48" s="68"/>
      <c r="L48" s="68"/>
      <c r="M48" s="68"/>
      <c r="N48" s="69"/>
    </row>
    <row r="49" spans="2:14" ht="33.950000000000003" customHeight="1" x14ac:dyDescent="0.25">
      <c r="B49" s="67"/>
      <c r="C49" s="68"/>
      <c r="D49" s="68"/>
      <c r="E49" s="68"/>
      <c r="F49" s="68"/>
      <c r="G49" s="68"/>
      <c r="H49" s="69"/>
      <c r="I49" s="67"/>
      <c r="J49" s="68"/>
      <c r="K49" s="68"/>
      <c r="L49" s="68"/>
      <c r="M49" s="68"/>
      <c r="N49" s="69"/>
    </row>
    <row r="50" spans="2:14" ht="33.950000000000003" customHeight="1" x14ac:dyDescent="0.25">
      <c r="B50" s="67"/>
      <c r="C50" s="68"/>
      <c r="D50" s="68"/>
      <c r="E50" s="68"/>
      <c r="F50" s="68"/>
      <c r="G50" s="68"/>
      <c r="H50" s="69"/>
      <c r="I50" s="67"/>
      <c r="J50" s="68"/>
      <c r="K50" s="68"/>
      <c r="L50" s="68"/>
      <c r="M50" s="68"/>
      <c r="N50" s="69"/>
    </row>
    <row r="51" spans="2:14" ht="33.950000000000003" customHeight="1" x14ac:dyDescent="0.25">
      <c r="B51" s="67"/>
      <c r="C51" s="68"/>
      <c r="D51" s="68"/>
      <c r="E51" s="68"/>
      <c r="F51" s="68"/>
      <c r="G51" s="68"/>
      <c r="H51" s="69"/>
      <c r="I51" s="67"/>
      <c r="J51" s="68"/>
      <c r="K51" s="68"/>
      <c r="L51" s="68"/>
      <c r="M51" s="68"/>
      <c r="N51" s="69"/>
    </row>
    <row r="52" spans="2:14" ht="33.950000000000003" customHeight="1" x14ac:dyDescent="0.25">
      <c r="B52" s="67"/>
      <c r="C52" s="68"/>
      <c r="D52" s="68"/>
      <c r="E52" s="68"/>
      <c r="F52" s="68"/>
      <c r="G52" s="68"/>
      <c r="H52" s="69"/>
      <c r="I52" s="67"/>
      <c r="J52" s="68"/>
      <c r="K52" s="68"/>
      <c r="L52" s="68"/>
      <c r="M52" s="68"/>
      <c r="N52" s="69"/>
    </row>
    <row r="53" spans="2:14" ht="33.950000000000003" customHeight="1" x14ac:dyDescent="0.25">
      <c r="B53" s="70"/>
      <c r="C53" s="71"/>
      <c r="D53" s="71"/>
      <c r="E53" s="71"/>
      <c r="F53" s="71"/>
      <c r="G53" s="71"/>
      <c r="H53" s="72"/>
      <c r="I53" s="70"/>
      <c r="J53" s="71"/>
      <c r="K53" s="71"/>
      <c r="L53" s="71"/>
      <c r="M53" s="71"/>
      <c r="N53" s="72"/>
    </row>
  </sheetData>
  <sheetProtection algorithmName="SHA-512" hashValue="3o43gnV5nqLUJpG+kaKVLU75SkYdyn8unfPx2duCl2eovsLGKUdgaLKV0/tKSZVKIELVu6yS8JWGKovFrBPcYA==" saltValue="4eS/0b/H2w1T+Dj4YEqw9w==" spinCount="100000" sheet="1" objects="1" scenarios="1"/>
  <mergeCells count="22">
    <mergeCell ref="B2:F2"/>
    <mergeCell ref="I11:N11"/>
    <mergeCell ref="H7:I7"/>
    <mergeCell ref="D8:E8"/>
    <mergeCell ref="B10:N10"/>
    <mergeCell ref="B8:C8"/>
    <mergeCell ref="B11:H11"/>
    <mergeCell ref="K8:M8"/>
    <mergeCell ref="C4:F4"/>
    <mergeCell ref="B6:C6"/>
    <mergeCell ref="B7:C7"/>
    <mergeCell ref="D7:G7"/>
    <mergeCell ref="J7:M7"/>
    <mergeCell ref="D5:F5"/>
    <mergeCell ref="J4:M4"/>
    <mergeCell ref="J5:M5"/>
    <mergeCell ref="I12:N53"/>
    <mergeCell ref="B44:H44"/>
    <mergeCell ref="B45:H53"/>
    <mergeCell ref="B12:H43"/>
    <mergeCell ref="B3:M3"/>
    <mergeCell ref="B9:N9"/>
  </mergeCells>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E825385A-2A9F-4E0E-BA2E-67EC8F355CCC}">
          <x14:formula1>
            <xm:f>Base!$C$1:$C$10</xm:f>
          </x14:formula1>
          <xm:sqref>J4:M4</xm:sqref>
        </x14:dataValidation>
        <x14:dataValidation type="list" allowBlank="1" showInputMessage="1" showErrorMessage="1" xr:uid="{1E6C7C05-A656-40B9-BED8-F3D928896202}">
          <x14:formula1>
            <xm:f>Base!$D$2:$D$11</xm:f>
          </x14:formula1>
          <xm:sqref>J5:M5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B7A18-4747-4D01-817F-5E43E61BD109}">
  <sheetPr codeName="Planilha6"/>
  <dimension ref="A1:A2"/>
  <sheetViews>
    <sheetView workbookViewId="0"/>
  </sheetViews>
  <sheetFormatPr defaultRowHeight="15" x14ac:dyDescent="0.25"/>
  <sheetData>
    <row r="1" spans="1:1" ht="409.5" x14ac:dyDescent="0.25">
      <c r="A1" s="33" t="s">
        <v>81</v>
      </c>
    </row>
    <row r="2" spans="1:1" ht="409.5" x14ac:dyDescent="0.25">
      <c r="A2" s="33" t="s">
        <v>82</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AB5DB-AFAB-4D75-B999-6A15B75CF0AE}">
  <sheetPr codeName="Planilha9">
    <tabColor theme="6"/>
  </sheetPr>
  <dimension ref="B1:W55"/>
  <sheetViews>
    <sheetView showGridLines="0" tabSelected="1" topLeftCell="A10" zoomScale="60" zoomScaleNormal="60" workbookViewId="0">
      <selection activeCell="L13" sqref="L13:N13"/>
    </sheetView>
  </sheetViews>
  <sheetFormatPr defaultColWidth="9.28515625" defaultRowHeight="18.75" customHeight="1" x14ac:dyDescent="0.25"/>
  <cols>
    <col min="1" max="1" width="1.85546875" style="4" customWidth="1"/>
    <col min="2" max="2" width="19" style="4" customWidth="1"/>
    <col min="3" max="3" width="14.42578125" style="4" customWidth="1"/>
    <col min="4" max="4" width="42.42578125" style="4" customWidth="1"/>
    <col min="5" max="5" width="27" style="4" customWidth="1"/>
    <col min="6" max="6" width="24.42578125" style="4" customWidth="1"/>
    <col min="7" max="7" width="27.140625" style="4" customWidth="1"/>
    <col min="8" max="8" width="44.140625" style="4" customWidth="1"/>
    <col min="9" max="9" width="56.7109375" style="4" customWidth="1"/>
    <col min="10" max="10" width="39.85546875" style="4" customWidth="1"/>
    <col min="11" max="11" width="54" style="4" customWidth="1"/>
    <col min="12" max="12" width="15.28515625" style="4" customWidth="1"/>
    <col min="13" max="13" width="9.7109375" style="4" customWidth="1"/>
    <col min="14" max="14" width="33.42578125" style="4" customWidth="1"/>
    <col min="15" max="15" width="2" style="4" customWidth="1"/>
    <col min="16" max="16384" width="9.28515625" style="4"/>
  </cols>
  <sheetData>
    <row r="1" spans="2:23" ht="8.25" customHeight="1" x14ac:dyDescent="0.25"/>
    <row r="2" spans="2:23" ht="96.6" customHeight="1" x14ac:dyDescent="0.25">
      <c r="B2" s="46" t="s">
        <v>83</v>
      </c>
      <c r="C2" s="42"/>
      <c r="D2" s="42"/>
      <c r="E2" s="42"/>
      <c r="F2" s="42"/>
      <c r="G2" s="42"/>
      <c r="H2" s="43"/>
      <c r="I2" s="43"/>
      <c r="J2" s="43"/>
      <c r="K2" s="43"/>
      <c r="L2" s="5"/>
      <c r="M2" s="5"/>
      <c r="N2" s="6"/>
    </row>
    <row r="3" spans="2:23" ht="7.5" customHeight="1" x14ac:dyDescent="0.25">
      <c r="B3" s="41"/>
      <c r="C3" s="19"/>
      <c r="D3" s="19"/>
      <c r="E3" s="19"/>
      <c r="F3" s="19"/>
      <c r="G3" s="19"/>
      <c r="H3" s="5"/>
      <c r="I3" s="5"/>
      <c r="J3" s="5"/>
      <c r="K3" s="5"/>
      <c r="L3" s="5"/>
      <c r="M3" s="5"/>
      <c r="N3" s="5"/>
    </row>
    <row r="4" spans="2:23" ht="37.9" customHeight="1" x14ac:dyDescent="0.25">
      <c r="B4" s="98" t="s">
        <v>62</v>
      </c>
      <c r="C4" s="98"/>
      <c r="D4" s="98"/>
      <c r="E4" s="157">
        <f>'Plano de Ensino'!C4</f>
        <v>0</v>
      </c>
      <c r="F4" s="157"/>
      <c r="G4" s="158"/>
      <c r="H4" s="9" t="s">
        <v>63</v>
      </c>
      <c r="I4" s="159">
        <f>'Plano de Ensino'!H4</f>
        <v>0</v>
      </c>
      <c r="J4" s="160"/>
      <c r="K4" s="9" t="s">
        <v>64</v>
      </c>
      <c r="L4" s="161">
        <f>'Plano de Ensino'!J4</f>
        <v>0</v>
      </c>
      <c r="M4" s="161"/>
      <c r="N4" s="162"/>
    </row>
    <row r="5" spans="2:23" ht="37.9" customHeight="1" x14ac:dyDescent="0.25">
      <c r="B5" s="90" t="s">
        <v>65</v>
      </c>
      <c r="C5" s="163"/>
      <c r="D5" s="91"/>
      <c r="E5" s="164">
        <f>'Plano de Ensino'!D5</f>
        <v>0</v>
      </c>
      <c r="F5" s="164"/>
      <c r="G5" s="165"/>
      <c r="H5" s="20" t="s">
        <v>66</v>
      </c>
      <c r="I5" s="166">
        <f>'Plano de Ensino'!H5</f>
        <v>0</v>
      </c>
      <c r="J5" s="167"/>
      <c r="K5" s="9" t="s">
        <v>67</v>
      </c>
      <c r="L5" s="161">
        <f>'Plano de Ensino'!J5</f>
        <v>0</v>
      </c>
      <c r="M5" s="161"/>
      <c r="N5" s="162"/>
      <c r="V5" s="15"/>
      <c r="W5" s="16"/>
    </row>
    <row r="6" spans="2:23" ht="37.9" customHeight="1" x14ac:dyDescent="0.25">
      <c r="B6" s="98" t="s">
        <v>84</v>
      </c>
      <c r="C6" s="98"/>
      <c r="D6" s="98"/>
      <c r="E6" s="154" t="s">
        <v>85</v>
      </c>
      <c r="F6" s="155"/>
      <c r="G6" s="155"/>
      <c r="H6" s="155"/>
      <c r="I6" s="155"/>
      <c r="J6" s="156"/>
      <c r="K6" s="9" t="s">
        <v>86</v>
      </c>
      <c r="L6" s="145">
        <f>SUM(C13:C54)</f>
        <v>0</v>
      </c>
      <c r="M6" s="145"/>
      <c r="N6" s="146"/>
    </row>
    <row r="7" spans="2:23" ht="8.25" customHeight="1" x14ac:dyDescent="0.25">
      <c r="B7" s="78"/>
      <c r="C7" s="78"/>
      <c r="D7" s="78"/>
      <c r="E7" s="78"/>
      <c r="F7" s="78"/>
      <c r="G7" s="78"/>
      <c r="H7" s="78"/>
      <c r="I7" s="78"/>
      <c r="J7" s="78"/>
      <c r="K7" s="78"/>
      <c r="L7" s="78"/>
      <c r="M7" s="78"/>
      <c r="N7" s="78"/>
    </row>
    <row r="8" spans="2:23" ht="37.9" customHeight="1" x14ac:dyDescent="0.25">
      <c r="B8" s="147" t="s">
        <v>83</v>
      </c>
      <c r="C8" s="148"/>
      <c r="D8" s="148"/>
      <c r="E8" s="148"/>
      <c r="F8" s="148"/>
      <c r="G8" s="148"/>
      <c r="H8" s="148"/>
      <c r="I8" s="148"/>
      <c r="J8" s="148"/>
      <c r="K8" s="148"/>
      <c r="L8" s="148"/>
      <c r="M8" s="148"/>
      <c r="N8" s="149"/>
    </row>
    <row r="9" spans="2:23" ht="36" customHeight="1" x14ac:dyDescent="0.25">
      <c r="B9" s="150" t="s">
        <v>87</v>
      </c>
      <c r="C9" s="151"/>
      <c r="D9" s="151"/>
      <c r="E9" s="151"/>
      <c r="F9" s="151"/>
      <c r="G9" s="151"/>
      <c r="H9" s="152"/>
      <c r="I9" s="11" t="s">
        <v>88</v>
      </c>
      <c r="J9" s="27"/>
      <c r="K9" s="11" t="s">
        <v>89</v>
      </c>
      <c r="L9" s="153"/>
      <c r="M9" s="85"/>
      <c r="N9" s="86"/>
    </row>
    <row r="10" spans="2:23" ht="121.5" customHeight="1" x14ac:dyDescent="0.25">
      <c r="B10" s="131"/>
      <c r="C10" s="132"/>
      <c r="D10" s="132"/>
      <c r="E10" s="132"/>
      <c r="F10" s="132"/>
      <c r="G10" s="132"/>
      <c r="H10" s="132"/>
      <c r="I10" s="132"/>
      <c r="J10" s="132"/>
      <c r="K10" s="132"/>
      <c r="L10" s="132"/>
      <c r="M10" s="132"/>
      <c r="N10" s="133"/>
    </row>
    <row r="11" spans="2:23" ht="37.5" customHeight="1" x14ac:dyDescent="0.25">
      <c r="B11" s="134" t="s">
        <v>90</v>
      </c>
      <c r="C11" s="135"/>
      <c r="D11" s="135"/>
      <c r="E11" s="135"/>
      <c r="F11" s="135"/>
      <c r="G11" s="135"/>
      <c r="H11" s="135"/>
      <c r="I11" s="135"/>
      <c r="J11" s="135"/>
      <c r="K11" s="135"/>
      <c r="L11" s="135"/>
      <c r="M11" s="135"/>
      <c r="N11" s="136"/>
    </row>
    <row r="12" spans="2:23" s="21" customFormat="1" ht="50.25" customHeight="1" x14ac:dyDescent="0.25">
      <c r="B12" s="44" t="s">
        <v>91</v>
      </c>
      <c r="C12" s="44" t="s">
        <v>92</v>
      </c>
      <c r="D12" s="137" t="s">
        <v>93</v>
      </c>
      <c r="E12" s="137"/>
      <c r="F12" s="137"/>
      <c r="G12" s="137" t="s">
        <v>79</v>
      </c>
      <c r="H12" s="137"/>
      <c r="I12" s="44" t="s">
        <v>94</v>
      </c>
      <c r="J12" s="44" t="s">
        <v>95</v>
      </c>
      <c r="K12" s="45" t="s">
        <v>96</v>
      </c>
      <c r="L12" s="138" t="s">
        <v>1</v>
      </c>
      <c r="M12" s="138"/>
      <c r="N12" s="138"/>
    </row>
    <row r="13" spans="2:23" s="22" customFormat="1" ht="24.6" customHeight="1" x14ac:dyDescent="0.25">
      <c r="B13" s="124"/>
      <c r="C13" s="110"/>
      <c r="D13" s="139"/>
      <c r="E13" s="140"/>
      <c r="F13" s="141"/>
      <c r="G13" s="111"/>
      <c r="H13" s="111"/>
      <c r="I13" s="111"/>
      <c r="J13" s="111"/>
      <c r="K13" s="30"/>
      <c r="L13" s="106"/>
      <c r="M13" s="106"/>
      <c r="N13" s="106"/>
    </row>
    <row r="14" spans="2:23" s="22" customFormat="1" ht="177.75" customHeight="1" x14ac:dyDescent="0.25">
      <c r="B14" s="124"/>
      <c r="C14" s="110"/>
      <c r="D14" s="142"/>
      <c r="E14" s="143"/>
      <c r="F14" s="144"/>
      <c r="G14" s="111"/>
      <c r="H14" s="111"/>
      <c r="I14" s="111"/>
      <c r="J14" s="111"/>
      <c r="K14" s="30"/>
      <c r="L14" s="106"/>
      <c r="M14" s="106"/>
      <c r="N14" s="106"/>
    </row>
    <row r="15" spans="2:23" s="22" customFormat="1" ht="29.25" customHeight="1" x14ac:dyDescent="0.25">
      <c r="B15" s="124"/>
      <c r="C15" s="110"/>
      <c r="D15" s="125"/>
      <c r="E15" s="126"/>
      <c r="F15" s="127"/>
      <c r="G15" s="111"/>
      <c r="H15" s="111"/>
      <c r="I15" s="111"/>
      <c r="J15" s="111"/>
      <c r="K15" s="30"/>
      <c r="L15" s="106"/>
      <c r="M15" s="106"/>
      <c r="N15" s="106"/>
    </row>
    <row r="16" spans="2:23" s="22" customFormat="1" ht="162" customHeight="1" x14ac:dyDescent="0.25">
      <c r="B16" s="124"/>
      <c r="C16" s="110"/>
      <c r="D16" s="128"/>
      <c r="E16" s="129"/>
      <c r="F16" s="130"/>
      <c r="G16" s="111"/>
      <c r="H16" s="111"/>
      <c r="I16" s="111"/>
      <c r="J16" s="111"/>
      <c r="K16" s="30"/>
      <c r="L16" s="106"/>
      <c r="M16" s="106"/>
      <c r="N16" s="106"/>
    </row>
    <row r="17" spans="2:14" s="22" customFormat="1" ht="27.75" customHeight="1" x14ac:dyDescent="0.25">
      <c r="B17" s="108"/>
      <c r="C17" s="110"/>
      <c r="D17" s="111"/>
      <c r="E17" s="111"/>
      <c r="F17" s="111"/>
      <c r="G17" s="111"/>
      <c r="H17" s="111"/>
      <c r="I17" s="111"/>
      <c r="J17" s="111"/>
      <c r="K17" s="30"/>
      <c r="L17" s="106"/>
      <c r="M17" s="106"/>
      <c r="N17" s="106"/>
    </row>
    <row r="18" spans="2:14" s="22" customFormat="1" ht="162" customHeight="1" x14ac:dyDescent="0.25">
      <c r="B18" s="109"/>
      <c r="C18" s="110"/>
      <c r="D18" s="111"/>
      <c r="E18" s="111"/>
      <c r="F18" s="111"/>
      <c r="G18" s="111"/>
      <c r="H18" s="111"/>
      <c r="I18" s="111"/>
      <c r="J18" s="111"/>
      <c r="K18" s="31"/>
      <c r="L18" s="107"/>
      <c r="M18" s="107"/>
      <c r="N18" s="107"/>
    </row>
    <row r="19" spans="2:14" s="22" customFormat="1" ht="28.5" customHeight="1" x14ac:dyDescent="0.25">
      <c r="B19" s="108"/>
      <c r="C19" s="110"/>
      <c r="D19" s="111"/>
      <c r="E19" s="111"/>
      <c r="F19" s="111"/>
      <c r="G19" s="111"/>
      <c r="H19" s="111"/>
      <c r="I19" s="111"/>
      <c r="J19" s="111"/>
      <c r="K19" s="30"/>
      <c r="L19" s="106"/>
      <c r="M19" s="106"/>
      <c r="N19" s="106"/>
    </row>
    <row r="20" spans="2:14" s="22" customFormat="1" ht="162" customHeight="1" x14ac:dyDescent="0.25">
      <c r="B20" s="109"/>
      <c r="C20" s="110"/>
      <c r="D20" s="111"/>
      <c r="E20" s="111"/>
      <c r="F20" s="111"/>
      <c r="G20" s="111"/>
      <c r="H20" s="111"/>
      <c r="I20" s="111"/>
      <c r="J20" s="111"/>
      <c r="K20" s="31"/>
      <c r="L20" s="107"/>
      <c r="M20" s="107"/>
      <c r="N20" s="107"/>
    </row>
    <row r="21" spans="2:14" s="22" customFormat="1" ht="25.5" customHeight="1" x14ac:dyDescent="0.25">
      <c r="B21" s="108"/>
      <c r="C21" s="114"/>
      <c r="D21" s="116"/>
      <c r="E21" s="117"/>
      <c r="F21" s="118"/>
      <c r="G21" s="116"/>
      <c r="H21" s="118"/>
      <c r="I21" s="122"/>
      <c r="J21" s="122"/>
      <c r="K21" s="30"/>
      <c r="L21" s="106"/>
      <c r="M21" s="106"/>
      <c r="N21" s="106"/>
    </row>
    <row r="22" spans="2:14" s="22" customFormat="1" ht="162" customHeight="1" x14ac:dyDescent="0.25">
      <c r="B22" s="109"/>
      <c r="C22" s="115"/>
      <c r="D22" s="119"/>
      <c r="E22" s="120"/>
      <c r="F22" s="121"/>
      <c r="G22" s="119"/>
      <c r="H22" s="121"/>
      <c r="I22" s="123"/>
      <c r="J22" s="123"/>
      <c r="K22" s="31"/>
      <c r="L22" s="107"/>
      <c r="M22" s="107"/>
      <c r="N22" s="107"/>
    </row>
    <row r="23" spans="2:14" s="22" customFormat="1" ht="27.75" customHeight="1" x14ac:dyDescent="0.25">
      <c r="B23" s="108"/>
      <c r="C23" s="114"/>
      <c r="D23" s="116"/>
      <c r="E23" s="117"/>
      <c r="F23" s="118"/>
      <c r="G23" s="116"/>
      <c r="H23" s="118"/>
      <c r="I23" s="122"/>
      <c r="J23" s="122"/>
      <c r="K23" s="30"/>
      <c r="L23" s="106"/>
      <c r="M23" s="106"/>
      <c r="N23" s="106"/>
    </row>
    <row r="24" spans="2:14" s="22" customFormat="1" ht="162" customHeight="1" x14ac:dyDescent="0.25">
      <c r="B24" s="109"/>
      <c r="C24" s="115"/>
      <c r="D24" s="119"/>
      <c r="E24" s="120"/>
      <c r="F24" s="121"/>
      <c r="G24" s="119"/>
      <c r="H24" s="121"/>
      <c r="I24" s="123"/>
      <c r="J24" s="123"/>
      <c r="K24" s="31"/>
      <c r="L24" s="107"/>
      <c r="M24" s="107"/>
      <c r="N24" s="107"/>
    </row>
    <row r="25" spans="2:14" s="22" customFormat="1" ht="26.25" customHeight="1" x14ac:dyDescent="0.25">
      <c r="B25" s="108"/>
      <c r="C25" s="110"/>
      <c r="D25" s="112"/>
      <c r="E25" s="112"/>
      <c r="F25" s="112"/>
      <c r="G25" s="112"/>
      <c r="H25" s="112"/>
      <c r="I25" s="112"/>
      <c r="J25" s="111"/>
      <c r="K25" s="30"/>
      <c r="L25" s="106"/>
      <c r="M25" s="106"/>
      <c r="N25" s="106"/>
    </row>
    <row r="26" spans="2:14" s="22" customFormat="1" ht="166.5" customHeight="1" x14ac:dyDescent="0.25">
      <c r="B26" s="109"/>
      <c r="C26" s="110"/>
      <c r="D26" s="112"/>
      <c r="E26" s="112"/>
      <c r="F26" s="112"/>
      <c r="G26" s="112"/>
      <c r="H26" s="112"/>
      <c r="I26" s="112"/>
      <c r="J26" s="111"/>
      <c r="K26" s="32"/>
      <c r="L26" s="113"/>
      <c r="M26" s="113"/>
      <c r="N26" s="113"/>
    </row>
    <row r="27" spans="2:14" s="22" customFormat="1" ht="26.25" customHeight="1" x14ac:dyDescent="0.25">
      <c r="B27" s="108"/>
      <c r="C27" s="110"/>
      <c r="D27" s="111"/>
      <c r="E27" s="111"/>
      <c r="F27" s="111"/>
      <c r="G27" s="111"/>
      <c r="H27" s="111"/>
      <c r="I27" s="111"/>
      <c r="J27" s="111"/>
      <c r="K27" s="30"/>
      <c r="L27" s="106"/>
      <c r="M27" s="106"/>
      <c r="N27" s="106"/>
    </row>
    <row r="28" spans="2:14" s="22" customFormat="1" ht="162" customHeight="1" x14ac:dyDescent="0.25">
      <c r="B28" s="109"/>
      <c r="C28" s="110"/>
      <c r="D28" s="111"/>
      <c r="E28" s="111"/>
      <c r="F28" s="111"/>
      <c r="G28" s="111"/>
      <c r="H28" s="111"/>
      <c r="I28" s="111"/>
      <c r="J28" s="111"/>
      <c r="K28" s="31"/>
      <c r="L28" s="107"/>
      <c r="M28" s="107"/>
      <c r="N28" s="107"/>
    </row>
    <row r="29" spans="2:14" s="22" customFormat="1" ht="24" customHeight="1" x14ac:dyDescent="0.25">
      <c r="B29" s="108"/>
      <c r="C29" s="110"/>
      <c r="D29" s="111"/>
      <c r="E29" s="111"/>
      <c r="F29" s="111"/>
      <c r="G29" s="111"/>
      <c r="H29" s="111"/>
      <c r="I29" s="111"/>
      <c r="J29" s="111"/>
      <c r="K29" s="30"/>
      <c r="L29" s="106"/>
      <c r="M29" s="106"/>
      <c r="N29" s="106"/>
    </row>
    <row r="30" spans="2:14" s="22" customFormat="1" ht="162" customHeight="1" x14ac:dyDescent="0.25">
      <c r="B30" s="109"/>
      <c r="C30" s="110"/>
      <c r="D30" s="111"/>
      <c r="E30" s="111"/>
      <c r="F30" s="111"/>
      <c r="G30" s="111"/>
      <c r="H30" s="111"/>
      <c r="I30" s="111"/>
      <c r="J30" s="111"/>
      <c r="K30" s="31"/>
      <c r="L30" s="107"/>
      <c r="M30" s="107"/>
      <c r="N30" s="107"/>
    </row>
    <row r="31" spans="2:14" s="22" customFormat="1" ht="23.25" customHeight="1" x14ac:dyDescent="0.25">
      <c r="B31" s="108"/>
      <c r="C31" s="110"/>
      <c r="D31" s="111"/>
      <c r="E31" s="111"/>
      <c r="F31" s="111"/>
      <c r="G31" s="111"/>
      <c r="H31" s="111"/>
      <c r="I31" s="111"/>
      <c r="J31" s="111"/>
      <c r="K31" s="30"/>
      <c r="L31" s="106"/>
      <c r="M31" s="106"/>
      <c r="N31" s="106"/>
    </row>
    <row r="32" spans="2:14" s="22" customFormat="1" ht="162" customHeight="1" x14ac:dyDescent="0.25">
      <c r="B32" s="109"/>
      <c r="C32" s="110"/>
      <c r="D32" s="111"/>
      <c r="E32" s="111"/>
      <c r="F32" s="111"/>
      <c r="G32" s="111"/>
      <c r="H32" s="111"/>
      <c r="I32" s="111"/>
      <c r="J32" s="111"/>
      <c r="K32" s="31"/>
      <c r="L32" s="107"/>
      <c r="M32" s="107"/>
      <c r="N32" s="107"/>
    </row>
    <row r="33" spans="2:14" s="22" customFormat="1" ht="25.5" customHeight="1" x14ac:dyDescent="0.25">
      <c r="B33" s="108"/>
      <c r="C33" s="110"/>
      <c r="D33" s="111"/>
      <c r="E33" s="111"/>
      <c r="F33" s="111"/>
      <c r="G33" s="111"/>
      <c r="H33" s="111"/>
      <c r="I33" s="111"/>
      <c r="J33" s="111"/>
      <c r="K33" s="30"/>
      <c r="L33" s="106"/>
      <c r="M33" s="106"/>
      <c r="N33" s="106"/>
    </row>
    <row r="34" spans="2:14" s="22" customFormat="1" ht="162" customHeight="1" x14ac:dyDescent="0.25">
      <c r="B34" s="109"/>
      <c r="C34" s="110"/>
      <c r="D34" s="111"/>
      <c r="E34" s="111"/>
      <c r="F34" s="111"/>
      <c r="G34" s="111"/>
      <c r="H34" s="111"/>
      <c r="I34" s="111"/>
      <c r="J34" s="111"/>
      <c r="K34" s="31"/>
      <c r="L34" s="107"/>
      <c r="M34" s="107"/>
      <c r="N34" s="107"/>
    </row>
    <row r="35" spans="2:14" s="22" customFormat="1" ht="30.75" customHeight="1" x14ac:dyDescent="0.25">
      <c r="B35" s="108"/>
      <c r="C35" s="110"/>
      <c r="D35" s="111"/>
      <c r="E35" s="111"/>
      <c r="F35" s="111"/>
      <c r="G35" s="111"/>
      <c r="H35" s="111"/>
      <c r="I35" s="111"/>
      <c r="J35" s="111"/>
      <c r="K35" s="30"/>
      <c r="L35" s="106"/>
      <c r="M35" s="106"/>
      <c r="N35" s="106"/>
    </row>
    <row r="36" spans="2:14" s="22" customFormat="1" ht="162" customHeight="1" x14ac:dyDescent="0.25">
      <c r="B36" s="109"/>
      <c r="C36" s="110"/>
      <c r="D36" s="111"/>
      <c r="E36" s="111"/>
      <c r="F36" s="111"/>
      <c r="G36" s="111"/>
      <c r="H36" s="111"/>
      <c r="I36" s="111"/>
      <c r="J36" s="111"/>
      <c r="K36" s="31"/>
      <c r="L36" s="107"/>
      <c r="M36" s="107"/>
      <c r="N36" s="107"/>
    </row>
    <row r="37" spans="2:14" s="22" customFormat="1" ht="23.25" customHeight="1" x14ac:dyDescent="0.25">
      <c r="B37" s="108"/>
      <c r="C37" s="110"/>
      <c r="D37" s="111"/>
      <c r="E37" s="111"/>
      <c r="F37" s="111"/>
      <c r="G37" s="111"/>
      <c r="H37" s="111"/>
      <c r="I37" s="111"/>
      <c r="J37" s="111"/>
      <c r="K37" s="30"/>
      <c r="L37" s="106"/>
      <c r="M37" s="106"/>
      <c r="N37" s="106"/>
    </row>
    <row r="38" spans="2:14" s="22" customFormat="1" ht="230.25" customHeight="1" x14ac:dyDescent="0.25">
      <c r="B38" s="109"/>
      <c r="C38" s="110"/>
      <c r="D38" s="111"/>
      <c r="E38" s="111"/>
      <c r="F38" s="111"/>
      <c r="G38" s="111"/>
      <c r="H38" s="111"/>
      <c r="I38" s="111"/>
      <c r="J38" s="111"/>
      <c r="K38" s="31"/>
      <c r="L38" s="107"/>
      <c r="M38" s="107"/>
      <c r="N38" s="107"/>
    </row>
    <row r="39" spans="2:14" s="22" customFormat="1" ht="24" customHeight="1" x14ac:dyDescent="0.25">
      <c r="B39" s="108"/>
      <c r="C39" s="110"/>
      <c r="D39" s="111"/>
      <c r="E39" s="111"/>
      <c r="F39" s="111"/>
      <c r="G39" s="111"/>
      <c r="H39" s="111"/>
      <c r="I39" s="111"/>
      <c r="J39" s="111"/>
      <c r="K39" s="30"/>
      <c r="L39" s="106"/>
      <c r="M39" s="106"/>
      <c r="N39" s="106"/>
    </row>
    <row r="40" spans="2:14" s="22" customFormat="1" ht="162" customHeight="1" x14ac:dyDescent="0.25">
      <c r="B40" s="109"/>
      <c r="C40" s="110"/>
      <c r="D40" s="111"/>
      <c r="E40" s="111"/>
      <c r="F40" s="111"/>
      <c r="G40" s="111"/>
      <c r="H40" s="111"/>
      <c r="I40" s="111"/>
      <c r="J40" s="111"/>
      <c r="K40" s="31"/>
      <c r="L40" s="107"/>
      <c r="M40" s="107"/>
      <c r="N40" s="107"/>
    </row>
    <row r="41" spans="2:14" s="22" customFormat="1" ht="24" customHeight="1" x14ac:dyDescent="0.25">
      <c r="B41" s="108"/>
      <c r="C41" s="110"/>
      <c r="D41" s="111"/>
      <c r="E41" s="111"/>
      <c r="F41" s="111"/>
      <c r="G41" s="111"/>
      <c r="H41" s="111"/>
      <c r="I41" s="111"/>
      <c r="J41" s="111"/>
      <c r="K41" s="30"/>
      <c r="L41" s="106"/>
      <c r="M41" s="106"/>
      <c r="N41" s="106"/>
    </row>
    <row r="42" spans="2:14" s="22" customFormat="1" ht="162" customHeight="1" x14ac:dyDescent="0.25">
      <c r="B42" s="109"/>
      <c r="C42" s="110"/>
      <c r="D42" s="111"/>
      <c r="E42" s="111"/>
      <c r="F42" s="111"/>
      <c r="G42" s="111"/>
      <c r="H42" s="111"/>
      <c r="I42" s="111"/>
      <c r="J42" s="111"/>
      <c r="K42" s="31"/>
      <c r="L42" s="107"/>
      <c r="M42" s="107"/>
      <c r="N42" s="107"/>
    </row>
    <row r="43" spans="2:14" s="22" customFormat="1" ht="27.75" customHeight="1" x14ac:dyDescent="0.25">
      <c r="B43" s="108"/>
      <c r="C43" s="110"/>
      <c r="D43" s="111"/>
      <c r="E43" s="111"/>
      <c r="F43" s="111"/>
      <c r="G43" s="111"/>
      <c r="H43" s="111"/>
      <c r="I43" s="111"/>
      <c r="J43" s="111"/>
      <c r="K43" s="30"/>
      <c r="L43" s="106"/>
      <c r="M43" s="106"/>
      <c r="N43" s="106"/>
    </row>
    <row r="44" spans="2:14" s="22" customFormat="1" ht="162" customHeight="1" x14ac:dyDescent="0.25">
      <c r="B44" s="109"/>
      <c r="C44" s="110"/>
      <c r="D44" s="111"/>
      <c r="E44" s="111"/>
      <c r="F44" s="111"/>
      <c r="G44" s="111"/>
      <c r="H44" s="111"/>
      <c r="I44" s="111"/>
      <c r="J44" s="111"/>
      <c r="K44" s="31"/>
      <c r="L44" s="107"/>
      <c r="M44" s="107"/>
      <c r="N44" s="107"/>
    </row>
    <row r="45" spans="2:14" s="22" customFormat="1" ht="25.5" customHeight="1" x14ac:dyDescent="0.25">
      <c r="B45" s="108"/>
      <c r="C45" s="110"/>
      <c r="D45" s="111"/>
      <c r="E45" s="111"/>
      <c r="F45" s="111"/>
      <c r="G45" s="111"/>
      <c r="H45" s="111"/>
      <c r="I45" s="111"/>
      <c r="J45" s="111"/>
      <c r="K45" s="30"/>
      <c r="L45" s="106"/>
      <c r="M45" s="106"/>
      <c r="N45" s="106"/>
    </row>
    <row r="46" spans="2:14" s="22" customFormat="1" ht="162" customHeight="1" x14ac:dyDescent="0.25">
      <c r="B46" s="109"/>
      <c r="C46" s="110"/>
      <c r="D46" s="111"/>
      <c r="E46" s="111"/>
      <c r="F46" s="111"/>
      <c r="G46" s="111"/>
      <c r="H46" s="111"/>
      <c r="I46" s="111"/>
      <c r="J46" s="111"/>
      <c r="K46" s="31"/>
      <c r="L46" s="107"/>
      <c r="M46" s="107"/>
      <c r="N46" s="107"/>
    </row>
    <row r="47" spans="2:14" s="22" customFormat="1" ht="23.25" customHeight="1" x14ac:dyDescent="0.25">
      <c r="B47" s="108"/>
      <c r="C47" s="110"/>
      <c r="D47" s="111"/>
      <c r="E47" s="111"/>
      <c r="F47" s="111"/>
      <c r="G47" s="111"/>
      <c r="H47" s="111"/>
      <c r="I47" s="111"/>
      <c r="J47" s="111"/>
      <c r="K47" s="30"/>
      <c r="L47" s="106"/>
      <c r="M47" s="106"/>
      <c r="N47" s="106"/>
    </row>
    <row r="48" spans="2:14" s="22" customFormat="1" ht="162" customHeight="1" x14ac:dyDescent="0.25">
      <c r="B48" s="109"/>
      <c r="C48" s="110"/>
      <c r="D48" s="111"/>
      <c r="E48" s="111"/>
      <c r="F48" s="111"/>
      <c r="G48" s="111"/>
      <c r="H48" s="111"/>
      <c r="I48" s="111"/>
      <c r="J48" s="111"/>
      <c r="K48" s="31"/>
      <c r="L48" s="107"/>
      <c r="M48" s="107"/>
      <c r="N48" s="107"/>
    </row>
    <row r="49" spans="2:14" s="22" customFormat="1" ht="30.75" customHeight="1" x14ac:dyDescent="0.25">
      <c r="B49" s="108"/>
      <c r="C49" s="110"/>
      <c r="D49" s="111"/>
      <c r="E49" s="111"/>
      <c r="F49" s="111"/>
      <c r="G49" s="111"/>
      <c r="H49" s="111"/>
      <c r="I49" s="111"/>
      <c r="J49" s="111"/>
      <c r="K49" s="30"/>
      <c r="L49" s="106"/>
      <c r="M49" s="106"/>
      <c r="N49" s="106"/>
    </row>
    <row r="50" spans="2:14" s="22" customFormat="1" ht="162" customHeight="1" x14ac:dyDescent="0.25">
      <c r="B50" s="109"/>
      <c r="C50" s="110"/>
      <c r="D50" s="111"/>
      <c r="E50" s="111"/>
      <c r="F50" s="111"/>
      <c r="G50" s="111"/>
      <c r="H50" s="111"/>
      <c r="I50" s="111"/>
      <c r="J50" s="111"/>
      <c r="K50" s="31"/>
      <c r="L50" s="107"/>
      <c r="M50" s="107"/>
      <c r="N50" s="107"/>
    </row>
    <row r="51" spans="2:14" s="22" customFormat="1" ht="23.25" customHeight="1" x14ac:dyDescent="0.25">
      <c r="B51" s="108"/>
      <c r="C51" s="110"/>
      <c r="D51" s="111"/>
      <c r="E51" s="111"/>
      <c r="F51" s="111"/>
      <c r="G51" s="111"/>
      <c r="H51" s="111"/>
      <c r="I51" s="111"/>
      <c r="J51" s="111"/>
      <c r="K51" s="30"/>
      <c r="L51" s="106"/>
      <c r="M51" s="106"/>
      <c r="N51" s="106"/>
    </row>
    <row r="52" spans="2:14" s="22" customFormat="1" ht="162" customHeight="1" x14ac:dyDescent="0.25">
      <c r="B52" s="109"/>
      <c r="C52" s="110"/>
      <c r="D52" s="111"/>
      <c r="E52" s="111"/>
      <c r="F52" s="111"/>
      <c r="G52" s="111"/>
      <c r="H52" s="111"/>
      <c r="I52" s="111"/>
      <c r="J52" s="111"/>
      <c r="K52" s="31"/>
      <c r="L52" s="107"/>
      <c r="M52" s="107"/>
      <c r="N52" s="107"/>
    </row>
    <row r="53" spans="2:14" s="22" customFormat="1" ht="21.75" customHeight="1" x14ac:dyDescent="0.25">
      <c r="B53" s="108"/>
      <c r="C53" s="110"/>
      <c r="D53" s="111"/>
      <c r="E53" s="111"/>
      <c r="F53" s="111"/>
      <c r="G53" s="111"/>
      <c r="H53" s="111"/>
      <c r="I53" s="111"/>
      <c r="J53" s="111"/>
      <c r="K53" s="30"/>
      <c r="L53" s="106"/>
      <c r="M53" s="106"/>
      <c r="N53" s="106"/>
    </row>
    <row r="54" spans="2:14" s="22" customFormat="1" ht="162" customHeight="1" x14ac:dyDescent="0.25">
      <c r="B54" s="109"/>
      <c r="C54" s="110"/>
      <c r="D54" s="111"/>
      <c r="E54" s="111"/>
      <c r="F54" s="111"/>
      <c r="G54" s="111"/>
      <c r="H54" s="111"/>
      <c r="I54" s="111"/>
      <c r="J54" s="111"/>
      <c r="K54" s="31"/>
      <c r="L54" s="107"/>
      <c r="M54" s="107"/>
      <c r="N54" s="107"/>
    </row>
    <row r="55" spans="2:14" s="22" customFormat="1" ht="18.75" customHeight="1" x14ac:dyDescent="0.25"/>
  </sheetData>
  <sheetProtection algorithmName="SHA-512" hashValue="+MMsIfdPO8wj5TqXvvgkH8vQJHcNw/skD3Bz2u+3oHHNoqt78WNBkCI8+5n2gb4R5GBKrPHvTneyBA+YBBE4ow==" saltValue="fMd09FlYjfjpey46ie4xcA==" spinCount="100000" sheet="1" objects="1"/>
  <mergeCells count="188">
    <mergeCell ref="B6:D6"/>
    <mergeCell ref="L6:N6"/>
    <mergeCell ref="B7:N7"/>
    <mergeCell ref="B8:N8"/>
    <mergeCell ref="B9:H9"/>
    <mergeCell ref="L9:N9"/>
    <mergeCell ref="E6:J6"/>
    <mergeCell ref="B4:D4"/>
    <mergeCell ref="E4:G4"/>
    <mergeCell ref="I4:J4"/>
    <mergeCell ref="L4:N4"/>
    <mergeCell ref="B5:D5"/>
    <mergeCell ref="E5:G5"/>
    <mergeCell ref="I5:J5"/>
    <mergeCell ref="L5:N5"/>
    <mergeCell ref="B10:N10"/>
    <mergeCell ref="B11:N11"/>
    <mergeCell ref="D12:F12"/>
    <mergeCell ref="G12:H12"/>
    <mergeCell ref="L12:N12"/>
    <mergeCell ref="B13:B14"/>
    <mergeCell ref="C13:C14"/>
    <mergeCell ref="D13:F14"/>
    <mergeCell ref="G13:H14"/>
    <mergeCell ref="I13:I14"/>
    <mergeCell ref="J13:J14"/>
    <mergeCell ref="L13:N13"/>
    <mergeCell ref="L14:N14"/>
    <mergeCell ref="B15:B16"/>
    <mergeCell ref="C15:C16"/>
    <mergeCell ref="D15:F16"/>
    <mergeCell ref="G15:H16"/>
    <mergeCell ref="I15:I16"/>
    <mergeCell ref="J15:J16"/>
    <mergeCell ref="L15:N15"/>
    <mergeCell ref="L16:N16"/>
    <mergeCell ref="B17:B18"/>
    <mergeCell ref="C17:C18"/>
    <mergeCell ref="D17:F18"/>
    <mergeCell ref="G17:H18"/>
    <mergeCell ref="I17:I18"/>
    <mergeCell ref="J17:J18"/>
    <mergeCell ref="L17:N17"/>
    <mergeCell ref="L18:N18"/>
    <mergeCell ref="L19:N19"/>
    <mergeCell ref="L20:N20"/>
    <mergeCell ref="B21:B22"/>
    <mergeCell ref="C21:C22"/>
    <mergeCell ref="D21:F22"/>
    <mergeCell ref="G21:H22"/>
    <mergeCell ref="I21:I22"/>
    <mergeCell ref="J21:J22"/>
    <mergeCell ref="L21:N21"/>
    <mergeCell ref="L22:N22"/>
    <mergeCell ref="B19:B20"/>
    <mergeCell ref="C19:C20"/>
    <mergeCell ref="D19:F20"/>
    <mergeCell ref="G19:H20"/>
    <mergeCell ref="I19:I20"/>
    <mergeCell ref="J19:J20"/>
    <mergeCell ref="L23:N23"/>
    <mergeCell ref="L24:N24"/>
    <mergeCell ref="B25:B26"/>
    <mergeCell ref="C25:C26"/>
    <mergeCell ref="D25:F26"/>
    <mergeCell ref="G25:H26"/>
    <mergeCell ref="I25:I26"/>
    <mergeCell ref="J25:J26"/>
    <mergeCell ref="L25:N25"/>
    <mergeCell ref="L26:N26"/>
    <mergeCell ref="B23:B24"/>
    <mergeCell ref="C23:C24"/>
    <mergeCell ref="D23:F24"/>
    <mergeCell ref="G23:H24"/>
    <mergeCell ref="I23:I24"/>
    <mergeCell ref="J23:J24"/>
    <mergeCell ref="L27:N27"/>
    <mergeCell ref="L28:N28"/>
    <mergeCell ref="B29:B30"/>
    <mergeCell ref="C29:C30"/>
    <mergeCell ref="D29:F30"/>
    <mergeCell ref="G29:H30"/>
    <mergeCell ref="I29:I30"/>
    <mergeCell ref="J29:J30"/>
    <mergeCell ref="L29:N29"/>
    <mergeCell ref="L30:N30"/>
    <mergeCell ref="B27:B28"/>
    <mergeCell ref="C27:C28"/>
    <mergeCell ref="D27:F28"/>
    <mergeCell ref="G27:H28"/>
    <mergeCell ref="I27:I28"/>
    <mergeCell ref="J27:J28"/>
    <mergeCell ref="L31:N31"/>
    <mergeCell ref="L32:N32"/>
    <mergeCell ref="B33:B34"/>
    <mergeCell ref="C33:C34"/>
    <mergeCell ref="D33:F34"/>
    <mergeCell ref="G33:H34"/>
    <mergeCell ref="I33:I34"/>
    <mergeCell ref="J33:J34"/>
    <mergeCell ref="L33:N33"/>
    <mergeCell ref="L34:N34"/>
    <mergeCell ref="B31:B32"/>
    <mergeCell ref="C31:C32"/>
    <mergeCell ref="D31:F32"/>
    <mergeCell ref="G31:H32"/>
    <mergeCell ref="I31:I32"/>
    <mergeCell ref="J31:J32"/>
    <mergeCell ref="L35:N35"/>
    <mergeCell ref="L36:N36"/>
    <mergeCell ref="B37:B38"/>
    <mergeCell ref="C37:C38"/>
    <mergeCell ref="D37:F38"/>
    <mergeCell ref="G37:H38"/>
    <mergeCell ref="I37:I38"/>
    <mergeCell ref="J37:J38"/>
    <mergeCell ref="L37:N37"/>
    <mergeCell ref="L38:N38"/>
    <mergeCell ref="B35:B36"/>
    <mergeCell ref="C35:C36"/>
    <mergeCell ref="D35:F36"/>
    <mergeCell ref="G35:H36"/>
    <mergeCell ref="I35:I36"/>
    <mergeCell ref="J35:J36"/>
    <mergeCell ref="L39:N39"/>
    <mergeCell ref="L40:N40"/>
    <mergeCell ref="B41:B42"/>
    <mergeCell ref="C41:C42"/>
    <mergeCell ref="D41:F42"/>
    <mergeCell ref="G41:H42"/>
    <mergeCell ref="I41:I42"/>
    <mergeCell ref="J41:J42"/>
    <mergeCell ref="L41:N41"/>
    <mergeCell ref="L42:N42"/>
    <mergeCell ref="B39:B40"/>
    <mergeCell ref="C39:C40"/>
    <mergeCell ref="D39:F40"/>
    <mergeCell ref="G39:H40"/>
    <mergeCell ref="I39:I40"/>
    <mergeCell ref="J39:J40"/>
    <mergeCell ref="L43:N43"/>
    <mergeCell ref="L44:N44"/>
    <mergeCell ref="B45:B46"/>
    <mergeCell ref="C45:C46"/>
    <mergeCell ref="D45:F46"/>
    <mergeCell ref="G45:H46"/>
    <mergeCell ref="I45:I46"/>
    <mergeCell ref="J45:J46"/>
    <mergeCell ref="L45:N45"/>
    <mergeCell ref="L46:N46"/>
    <mergeCell ref="B43:B44"/>
    <mergeCell ref="C43:C44"/>
    <mergeCell ref="D43:F44"/>
    <mergeCell ref="G43:H44"/>
    <mergeCell ref="I43:I44"/>
    <mergeCell ref="J43:J44"/>
    <mergeCell ref="L47:N47"/>
    <mergeCell ref="L48:N48"/>
    <mergeCell ref="B49:B50"/>
    <mergeCell ref="C49:C50"/>
    <mergeCell ref="D49:F50"/>
    <mergeCell ref="G49:H50"/>
    <mergeCell ref="I49:I50"/>
    <mergeCell ref="J49:J50"/>
    <mergeCell ref="L49:N49"/>
    <mergeCell ref="L50:N50"/>
    <mergeCell ref="B47:B48"/>
    <mergeCell ref="C47:C48"/>
    <mergeCell ref="D47:F48"/>
    <mergeCell ref="G47:H48"/>
    <mergeCell ref="I47:I48"/>
    <mergeCell ref="J47:J48"/>
    <mergeCell ref="L51:N51"/>
    <mergeCell ref="L52:N52"/>
    <mergeCell ref="B53:B54"/>
    <mergeCell ref="C53:C54"/>
    <mergeCell ref="D53:F54"/>
    <mergeCell ref="G53:H54"/>
    <mergeCell ref="I53:I54"/>
    <mergeCell ref="J53:J54"/>
    <mergeCell ref="L53:N53"/>
    <mergeCell ref="L54:N54"/>
    <mergeCell ref="B51:B52"/>
    <mergeCell ref="C51:C52"/>
    <mergeCell ref="D51:F52"/>
    <mergeCell ref="G51:H52"/>
    <mergeCell ref="I51:I52"/>
    <mergeCell ref="J51:J52"/>
  </mergeCells>
  <printOptions horizontalCentered="1"/>
  <pageMargins left="0.27559055118110237" right="0.19685039370078741" top="0.27559055118110237" bottom="0.19685039370078741" header="0.31496062992125984" footer="0.31496062992125984"/>
  <pageSetup paperSize="9" orientation="landscape"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970810D-241E-40BA-81D0-652C6363441E}">
          <x14:formula1>
            <xm:f>Base!$A$2:$A$14</xm:f>
          </x14:formula1>
          <xm:sqref>K15 K53 K17 K19 K21 K23 K25 K27 K29 K31 K33 K35 K37 K39 K41 K43 K45 K47 K49 K51 K13</xm:sqref>
        </x14:dataValidation>
        <x14:dataValidation type="list" allowBlank="1" showInputMessage="1" showErrorMessage="1" xr:uid="{D6EC3E08-5E88-4DE1-B8A6-56F253ED893E}">
          <x14:formula1>
            <xm:f>Base!$B$2:$B$10</xm:f>
          </x14:formula1>
          <xm:sqref>L15:N15 L53:N53 L17:N17 L19:N19 L21:N21 L23:N23 L25:N25 L27:N27 L29:N29 L31:N31 L33:N33 L35:N35 L37:N37 L39:N39 L41:N41 L43:N43 L45:N45 L47:N47 L49:N49 L51:N51 L13:N13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6594D-902E-4DE8-9CCB-13611382930C}">
  <sheetPr codeName="Planilha10">
    <tabColor theme="6"/>
  </sheetPr>
  <dimension ref="B1:W55"/>
  <sheetViews>
    <sheetView showGridLines="0" zoomScale="66" zoomScaleNormal="66" workbookViewId="0">
      <selection activeCell="E6" sqref="E6:J6"/>
    </sheetView>
  </sheetViews>
  <sheetFormatPr defaultColWidth="9.28515625" defaultRowHeight="18.75" customHeight="1" x14ac:dyDescent="0.25"/>
  <cols>
    <col min="1" max="1" width="1.85546875" style="4" customWidth="1"/>
    <col min="2" max="2" width="19" style="4" customWidth="1"/>
    <col min="3" max="3" width="14.42578125" style="4" customWidth="1"/>
    <col min="4" max="4" width="42.42578125" style="4" customWidth="1"/>
    <col min="5" max="5" width="27" style="4" customWidth="1"/>
    <col min="6" max="6" width="24.42578125" style="4" customWidth="1"/>
    <col min="7" max="7" width="27.140625" style="4" customWidth="1"/>
    <col min="8" max="8" width="44.140625" style="4" customWidth="1"/>
    <col min="9" max="9" width="56.7109375" style="4" customWidth="1"/>
    <col min="10" max="10" width="39.85546875" style="4" customWidth="1"/>
    <col min="11" max="11" width="54" style="4" customWidth="1"/>
    <col min="12" max="12" width="15.28515625" style="4" customWidth="1"/>
    <col min="13" max="13" width="9.7109375" style="4" customWidth="1"/>
    <col min="14" max="14" width="33.42578125" style="4" customWidth="1"/>
    <col min="15" max="15" width="2" style="4" customWidth="1"/>
    <col min="16" max="16384" width="9.28515625" style="4"/>
  </cols>
  <sheetData>
    <row r="1" spans="2:23" ht="8.25" customHeight="1" x14ac:dyDescent="0.25"/>
    <row r="2" spans="2:23" ht="96.6" customHeight="1" x14ac:dyDescent="0.25">
      <c r="B2" s="46" t="s">
        <v>83</v>
      </c>
      <c r="C2" s="42"/>
      <c r="D2" s="42"/>
      <c r="E2" s="42"/>
      <c r="F2" s="42"/>
      <c r="G2" s="42"/>
      <c r="H2" s="43"/>
      <c r="I2" s="43"/>
      <c r="J2" s="43"/>
      <c r="K2" s="43"/>
      <c r="L2" s="5"/>
      <c r="M2" s="5"/>
      <c r="N2" s="6"/>
    </row>
    <row r="3" spans="2:23" ht="7.5" customHeight="1" x14ac:dyDescent="0.25">
      <c r="B3" s="41"/>
      <c r="C3" s="19"/>
      <c r="D3" s="19"/>
      <c r="E3" s="19"/>
      <c r="F3" s="19"/>
      <c r="G3" s="19"/>
      <c r="H3" s="5"/>
      <c r="I3" s="5"/>
      <c r="J3" s="5"/>
      <c r="K3" s="5"/>
      <c r="L3" s="5"/>
      <c r="M3" s="5"/>
      <c r="N3" s="5"/>
    </row>
    <row r="4" spans="2:23" ht="37.9" customHeight="1" x14ac:dyDescent="0.25">
      <c r="B4" s="98" t="s">
        <v>62</v>
      </c>
      <c r="C4" s="98"/>
      <c r="D4" s="98"/>
      <c r="E4" s="157">
        <f>'Plano de Ensino'!C4</f>
        <v>0</v>
      </c>
      <c r="F4" s="157"/>
      <c r="G4" s="158"/>
      <c r="H4" s="9" t="s">
        <v>63</v>
      </c>
      <c r="I4" s="159">
        <f>'Plano de Ensino'!H4</f>
        <v>0</v>
      </c>
      <c r="J4" s="160"/>
      <c r="K4" s="9" t="s">
        <v>64</v>
      </c>
      <c r="L4" s="161">
        <f>'Plano de Ensino'!J4</f>
        <v>0</v>
      </c>
      <c r="M4" s="161"/>
      <c r="N4" s="162"/>
    </row>
    <row r="5" spans="2:23" ht="37.9" customHeight="1" x14ac:dyDescent="0.25">
      <c r="B5" s="90" t="s">
        <v>65</v>
      </c>
      <c r="C5" s="163"/>
      <c r="D5" s="91"/>
      <c r="E5" s="164">
        <f>'Plano de Ensino'!D5</f>
        <v>0</v>
      </c>
      <c r="F5" s="164"/>
      <c r="G5" s="165"/>
      <c r="H5" s="20" t="s">
        <v>66</v>
      </c>
      <c r="I5" s="166">
        <f>'Plano de Ensino'!H5</f>
        <v>0</v>
      </c>
      <c r="J5" s="167"/>
      <c r="K5" s="9" t="s">
        <v>67</v>
      </c>
      <c r="L5" s="161">
        <f>'Plano de Ensino'!J5</f>
        <v>0</v>
      </c>
      <c r="M5" s="161"/>
      <c r="N5" s="162"/>
      <c r="V5" s="15"/>
      <c r="W5" s="16"/>
    </row>
    <row r="6" spans="2:23" ht="37.9" customHeight="1" x14ac:dyDescent="0.25">
      <c r="B6" s="98" t="s">
        <v>84</v>
      </c>
      <c r="C6" s="98"/>
      <c r="D6" s="98"/>
      <c r="E6" s="154" t="s">
        <v>85</v>
      </c>
      <c r="F6" s="155"/>
      <c r="G6" s="155"/>
      <c r="H6" s="155"/>
      <c r="I6" s="155"/>
      <c r="J6" s="156"/>
      <c r="K6" s="9" t="s">
        <v>86</v>
      </c>
      <c r="L6" s="145">
        <f>SUM(C13:C54)</f>
        <v>0</v>
      </c>
      <c r="M6" s="145"/>
      <c r="N6" s="146"/>
    </row>
    <row r="7" spans="2:23" ht="8.25" customHeight="1" x14ac:dyDescent="0.25">
      <c r="B7" s="78"/>
      <c r="C7" s="78"/>
      <c r="D7" s="78"/>
      <c r="E7" s="78"/>
      <c r="F7" s="78"/>
      <c r="G7" s="78"/>
      <c r="H7" s="78"/>
      <c r="I7" s="78"/>
      <c r="J7" s="78"/>
      <c r="K7" s="78"/>
      <c r="L7" s="78"/>
      <c r="M7" s="78"/>
      <c r="N7" s="78"/>
    </row>
    <row r="8" spans="2:23" ht="37.9" customHeight="1" x14ac:dyDescent="0.25">
      <c r="B8" s="147" t="s">
        <v>83</v>
      </c>
      <c r="C8" s="148"/>
      <c r="D8" s="148"/>
      <c r="E8" s="148"/>
      <c r="F8" s="148"/>
      <c r="G8" s="148"/>
      <c r="H8" s="148"/>
      <c r="I8" s="148"/>
      <c r="J8" s="148"/>
      <c r="K8" s="148"/>
      <c r="L8" s="148"/>
      <c r="M8" s="148"/>
      <c r="N8" s="149"/>
    </row>
    <row r="9" spans="2:23" ht="36" customHeight="1" x14ac:dyDescent="0.25">
      <c r="B9" s="150" t="s">
        <v>87</v>
      </c>
      <c r="C9" s="151"/>
      <c r="D9" s="151"/>
      <c r="E9" s="151"/>
      <c r="F9" s="151"/>
      <c r="G9" s="151"/>
      <c r="H9" s="152"/>
      <c r="I9" s="11" t="s">
        <v>88</v>
      </c>
      <c r="J9" s="27"/>
      <c r="K9" s="11" t="s">
        <v>89</v>
      </c>
      <c r="L9" s="153"/>
      <c r="M9" s="85"/>
      <c r="N9" s="86"/>
    </row>
    <row r="10" spans="2:23" ht="121.5" customHeight="1" x14ac:dyDescent="0.25">
      <c r="B10" s="131"/>
      <c r="C10" s="132"/>
      <c r="D10" s="132"/>
      <c r="E10" s="132"/>
      <c r="F10" s="132"/>
      <c r="G10" s="132"/>
      <c r="H10" s="132"/>
      <c r="I10" s="132"/>
      <c r="J10" s="132"/>
      <c r="K10" s="132"/>
      <c r="L10" s="132"/>
      <c r="M10" s="132"/>
      <c r="N10" s="133"/>
    </row>
    <row r="11" spans="2:23" ht="37.5" customHeight="1" x14ac:dyDescent="0.25">
      <c r="B11" s="134" t="s">
        <v>90</v>
      </c>
      <c r="C11" s="135"/>
      <c r="D11" s="135"/>
      <c r="E11" s="135"/>
      <c r="F11" s="135"/>
      <c r="G11" s="135"/>
      <c r="H11" s="135"/>
      <c r="I11" s="135"/>
      <c r="J11" s="135"/>
      <c r="K11" s="135"/>
      <c r="L11" s="135"/>
      <c r="M11" s="135"/>
      <c r="N11" s="136"/>
    </row>
    <row r="12" spans="2:23" s="21" customFormat="1" ht="50.25" customHeight="1" x14ac:dyDescent="0.25">
      <c r="B12" s="44" t="s">
        <v>91</v>
      </c>
      <c r="C12" s="44" t="s">
        <v>92</v>
      </c>
      <c r="D12" s="137" t="s">
        <v>93</v>
      </c>
      <c r="E12" s="137"/>
      <c r="F12" s="137"/>
      <c r="G12" s="137" t="s">
        <v>79</v>
      </c>
      <c r="H12" s="137"/>
      <c r="I12" s="44" t="s">
        <v>94</v>
      </c>
      <c r="J12" s="44" t="s">
        <v>95</v>
      </c>
      <c r="K12" s="45" t="s">
        <v>96</v>
      </c>
      <c r="L12" s="138" t="s">
        <v>1</v>
      </c>
      <c r="M12" s="138"/>
      <c r="N12" s="138"/>
    </row>
    <row r="13" spans="2:23" s="22" customFormat="1" ht="24.6" customHeight="1" x14ac:dyDescent="0.25">
      <c r="B13" s="124"/>
      <c r="C13" s="110"/>
      <c r="D13" s="139"/>
      <c r="E13" s="140"/>
      <c r="F13" s="141"/>
      <c r="G13" s="111"/>
      <c r="H13" s="111"/>
      <c r="I13" s="111"/>
      <c r="J13" s="111"/>
      <c r="K13" s="30"/>
      <c r="L13" s="106"/>
      <c r="M13" s="106"/>
      <c r="N13" s="106"/>
    </row>
    <row r="14" spans="2:23" s="22" customFormat="1" ht="177.75" customHeight="1" x14ac:dyDescent="0.25">
      <c r="B14" s="124"/>
      <c r="C14" s="110"/>
      <c r="D14" s="142"/>
      <c r="E14" s="143"/>
      <c r="F14" s="144"/>
      <c r="G14" s="111"/>
      <c r="H14" s="111"/>
      <c r="I14" s="111"/>
      <c r="J14" s="111"/>
      <c r="K14" s="30"/>
      <c r="L14" s="106"/>
      <c r="M14" s="106"/>
      <c r="N14" s="106"/>
    </row>
    <row r="15" spans="2:23" s="22" customFormat="1" ht="29.25" customHeight="1" x14ac:dyDescent="0.25">
      <c r="B15" s="124"/>
      <c r="C15" s="110"/>
      <c r="D15" s="125"/>
      <c r="E15" s="126"/>
      <c r="F15" s="127"/>
      <c r="G15" s="111"/>
      <c r="H15" s="111"/>
      <c r="I15" s="111"/>
      <c r="J15" s="111"/>
      <c r="K15" s="30"/>
      <c r="L15" s="106"/>
      <c r="M15" s="106"/>
      <c r="N15" s="106"/>
    </row>
    <row r="16" spans="2:23" s="22" customFormat="1" ht="162" customHeight="1" x14ac:dyDescent="0.25">
      <c r="B16" s="124"/>
      <c r="C16" s="110"/>
      <c r="D16" s="128"/>
      <c r="E16" s="129"/>
      <c r="F16" s="130"/>
      <c r="G16" s="111"/>
      <c r="H16" s="111"/>
      <c r="I16" s="111"/>
      <c r="J16" s="111"/>
      <c r="K16" s="30"/>
      <c r="L16" s="106"/>
      <c r="M16" s="106"/>
      <c r="N16" s="106"/>
    </row>
    <row r="17" spans="2:14" s="22" customFormat="1" ht="27.75" customHeight="1" x14ac:dyDescent="0.25">
      <c r="B17" s="108"/>
      <c r="C17" s="110"/>
      <c r="D17" s="111"/>
      <c r="E17" s="111"/>
      <c r="F17" s="111"/>
      <c r="G17" s="111"/>
      <c r="H17" s="111"/>
      <c r="I17" s="111"/>
      <c r="J17" s="111"/>
      <c r="K17" s="30"/>
      <c r="L17" s="106"/>
      <c r="M17" s="106"/>
      <c r="N17" s="106"/>
    </row>
    <row r="18" spans="2:14" s="22" customFormat="1" ht="162" customHeight="1" x14ac:dyDescent="0.25">
      <c r="B18" s="109"/>
      <c r="C18" s="110"/>
      <c r="D18" s="111"/>
      <c r="E18" s="111"/>
      <c r="F18" s="111"/>
      <c r="G18" s="111"/>
      <c r="H18" s="111"/>
      <c r="I18" s="111"/>
      <c r="J18" s="111"/>
      <c r="K18" s="31"/>
      <c r="L18" s="107"/>
      <c r="M18" s="107"/>
      <c r="N18" s="107"/>
    </row>
    <row r="19" spans="2:14" s="22" customFormat="1" ht="28.5" customHeight="1" x14ac:dyDescent="0.25">
      <c r="B19" s="108"/>
      <c r="C19" s="110"/>
      <c r="D19" s="111"/>
      <c r="E19" s="111"/>
      <c r="F19" s="111"/>
      <c r="G19" s="111"/>
      <c r="H19" s="111"/>
      <c r="I19" s="111"/>
      <c r="J19" s="111"/>
      <c r="K19" s="30"/>
      <c r="L19" s="106"/>
      <c r="M19" s="106"/>
      <c r="N19" s="106"/>
    </row>
    <row r="20" spans="2:14" s="22" customFormat="1" ht="162" customHeight="1" x14ac:dyDescent="0.25">
      <c r="B20" s="109"/>
      <c r="C20" s="110"/>
      <c r="D20" s="111"/>
      <c r="E20" s="111"/>
      <c r="F20" s="111"/>
      <c r="G20" s="111"/>
      <c r="H20" s="111"/>
      <c r="I20" s="111"/>
      <c r="J20" s="111"/>
      <c r="K20" s="31"/>
      <c r="L20" s="107"/>
      <c r="M20" s="107"/>
      <c r="N20" s="107"/>
    </row>
    <row r="21" spans="2:14" s="22" customFormat="1" ht="25.5" customHeight="1" x14ac:dyDescent="0.25">
      <c r="B21" s="108"/>
      <c r="C21" s="114"/>
      <c r="D21" s="116"/>
      <c r="E21" s="117"/>
      <c r="F21" s="118"/>
      <c r="G21" s="116"/>
      <c r="H21" s="118"/>
      <c r="I21" s="122"/>
      <c r="J21" s="122"/>
      <c r="K21" s="30"/>
      <c r="L21" s="106"/>
      <c r="M21" s="106"/>
      <c r="N21" s="106"/>
    </row>
    <row r="22" spans="2:14" s="22" customFormat="1" ht="162" customHeight="1" x14ac:dyDescent="0.25">
      <c r="B22" s="109"/>
      <c r="C22" s="115"/>
      <c r="D22" s="119"/>
      <c r="E22" s="120"/>
      <c r="F22" s="121"/>
      <c r="G22" s="119"/>
      <c r="H22" s="121"/>
      <c r="I22" s="123"/>
      <c r="J22" s="123"/>
      <c r="K22" s="31"/>
      <c r="L22" s="107"/>
      <c r="M22" s="107"/>
      <c r="N22" s="107"/>
    </row>
    <row r="23" spans="2:14" s="22" customFormat="1" ht="27.75" customHeight="1" x14ac:dyDescent="0.25">
      <c r="B23" s="108"/>
      <c r="C23" s="114"/>
      <c r="D23" s="116"/>
      <c r="E23" s="117"/>
      <c r="F23" s="118"/>
      <c r="G23" s="116"/>
      <c r="H23" s="118"/>
      <c r="I23" s="122"/>
      <c r="J23" s="122"/>
      <c r="K23" s="30"/>
      <c r="L23" s="106"/>
      <c r="M23" s="106"/>
      <c r="N23" s="106"/>
    </row>
    <row r="24" spans="2:14" s="22" customFormat="1" ht="162" customHeight="1" x14ac:dyDescent="0.25">
      <c r="B24" s="109"/>
      <c r="C24" s="115"/>
      <c r="D24" s="119"/>
      <c r="E24" s="120"/>
      <c r="F24" s="121"/>
      <c r="G24" s="119"/>
      <c r="H24" s="121"/>
      <c r="I24" s="123"/>
      <c r="J24" s="123"/>
      <c r="K24" s="31"/>
      <c r="L24" s="107"/>
      <c r="M24" s="107"/>
      <c r="N24" s="107"/>
    </row>
    <row r="25" spans="2:14" s="22" customFormat="1" ht="26.25" customHeight="1" x14ac:dyDescent="0.25">
      <c r="B25" s="108"/>
      <c r="C25" s="110"/>
      <c r="D25" s="112"/>
      <c r="E25" s="112"/>
      <c r="F25" s="112"/>
      <c r="G25" s="112"/>
      <c r="H25" s="112"/>
      <c r="I25" s="112"/>
      <c r="J25" s="111"/>
      <c r="K25" s="30"/>
      <c r="L25" s="106"/>
      <c r="M25" s="106"/>
      <c r="N25" s="106"/>
    </row>
    <row r="26" spans="2:14" s="22" customFormat="1" ht="166.5" customHeight="1" x14ac:dyDescent="0.25">
      <c r="B26" s="109"/>
      <c r="C26" s="110"/>
      <c r="D26" s="112"/>
      <c r="E26" s="112"/>
      <c r="F26" s="112"/>
      <c r="G26" s="112"/>
      <c r="H26" s="112"/>
      <c r="I26" s="112"/>
      <c r="J26" s="111"/>
      <c r="K26" s="32"/>
      <c r="L26" s="113"/>
      <c r="M26" s="113"/>
      <c r="N26" s="113"/>
    </row>
    <row r="27" spans="2:14" s="22" customFormat="1" ht="26.25" customHeight="1" x14ac:dyDescent="0.25">
      <c r="B27" s="108"/>
      <c r="C27" s="110"/>
      <c r="D27" s="111"/>
      <c r="E27" s="111"/>
      <c r="F27" s="111"/>
      <c r="G27" s="111"/>
      <c r="H27" s="111"/>
      <c r="I27" s="111"/>
      <c r="J27" s="111"/>
      <c r="K27" s="30"/>
      <c r="L27" s="106"/>
      <c r="M27" s="106"/>
      <c r="N27" s="106"/>
    </row>
    <row r="28" spans="2:14" s="22" customFormat="1" ht="162" customHeight="1" x14ac:dyDescent="0.25">
      <c r="B28" s="109"/>
      <c r="C28" s="110"/>
      <c r="D28" s="111"/>
      <c r="E28" s="111"/>
      <c r="F28" s="111"/>
      <c r="G28" s="111"/>
      <c r="H28" s="111"/>
      <c r="I28" s="111"/>
      <c r="J28" s="111"/>
      <c r="K28" s="31"/>
      <c r="L28" s="107"/>
      <c r="M28" s="107"/>
      <c r="N28" s="107"/>
    </row>
    <row r="29" spans="2:14" s="22" customFormat="1" ht="24" customHeight="1" x14ac:dyDescent="0.25">
      <c r="B29" s="108"/>
      <c r="C29" s="110"/>
      <c r="D29" s="111"/>
      <c r="E29" s="111"/>
      <c r="F29" s="111"/>
      <c r="G29" s="111"/>
      <c r="H29" s="111"/>
      <c r="I29" s="111"/>
      <c r="J29" s="111"/>
      <c r="K29" s="30"/>
      <c r="L29" s="106"/>
      <c r="M29" s="106"/>
      <c r="N29" s="106"/>
    </row>
    <row r="30" spans="2:14" s="22" customFormat="1" ht="162" customHeight="1" x14ac:dyDescent="0.25">
      <c r="B30" s="109"/>
      <c r="C30" s="110"/>
      <c r="D30" s="111"/>
      <c r="E30" s="111"/>
      <c r="F30" s="111"/>
      <c r="G30" s="111"/>
      <c r="H30" s="111"/>
      <c r="I30" s="111"/>
      <c r="J30" s="111"/>
      <c r="K30" s="31"/>
      <c r="L30" s="107"/>
      <c r="M30" s="107"/>
      <c r="N30" s="107"/>
    </row>
    <row r="31" spans="2:14" s="22" customFormat="1" ht="23.25" customHeight="1" x14ac:dyDescent="0.25">
      <c r="B31" s="108"/>
      <c r="C31" s="110"/>
      <c r="D31" s="111"/>
      <c r="E31" s="111"/>
      <c r="F31" s="111"/>
      <c r="G31" s="111"/>
      <c r="H31" s="111"/>
      <c r="I31" s="111"/>
      <c r="J31" s="111"/>
      <c r="K31" s="30"/>
      <c r="L31" s="106"/>
      <c r="M31" s="106"/>
      <c r="N31" s="106"/>
    </row>
    <row r="32" spans="2:14" s="22" customFormat="1" ht="162" customHeight="1" x14ac:dyDescent="0.25">
      <c r="B32" s="109"/>
      <c r="C32" s="110"/>
      <c r="D32" s="111"/>
      <c r="E32" s="111"/>
      <c r="F32" s="111"/>
      <c r="G32" s="111"/>
      <c r="H32" s="111"/>
      <c r="I32" s="111"/>
      <c r="J32" s="111"/>
      <c r="K32" s="31"/>
      <c r="L32" s="107"/>
      <c r="M32" s="107"/>
      <c r="N32" s="107"/>
    </row>
    <row r="33" spans="2:14" s="22" customFormat="1" ht="25.5" customHeight="1" x14ac:dyDescent="0.25">
      <c r="B33" s="108"/>
      <c r="C33" s="110"/>
      <c r="D33" s="111"/>
      <c r="E33" s="111"/>
      <c r="F33" s="111"/>
      <c r="G33" s="111"/>
      <c r="H33" s="111"/>
      <c r="I33" s="111"/>
      <c r="J33" s="111"/>
      <c r="K33" s="30"/>
      <c r="L33" s="106"/>
      <c r="M33" s="106"/>
      <c r="N33" s="106"/>
    </row>
    <row r="34" spans="2:14" s="22" customFormat="1" ht="162" customHeight="1" x14ac:dyDescent="0.25">
      <c r="B34" s="109"/>
      <c r="C34" s="110"/>
      <c r="D34" s="111"/>
      <c r="E34" s="111"/>
      <c r="F34" s="111"/>
      <c r="G34" s="111"/>
      <c r="H34" s="111"/>
      <c r="I34" s="111"/>
      <c r="J34" s="111"/>
      <c r="K34" s="31"/>
      <c r="L34" s="107"/>
      <c r="M34" s="107"/>
      <c r="N34" s="107"/>
    </row>
    <row r="35" spans="2:14" s="22" customFormat="1" ht="30.75" customHeight="1" x14ac:dyDescent="0.25">
      <c r="B35" s="108"/>
      <c r="C35" s="110"/>
      <c r="D35" s="111"/>
      <c r="E35" s="111"/>
      <c r="F35" s="111"/>
      <c r="G35" s="111"/>
      <c r="H35" s="111"/>
      <c r="I35" s="111"/>
      <c r="J35" s="111"/>
      <c r="K35" s="30"/>
      <c r="L35" s="106"/>
      <c r="M35" s="106"/>
      <c r="N35" s="106"/>
    </row>
    <row r="36" spans="2:14" s="22" customFormat="1" ht="162" customHeight="1" x14ac:dyDescent="0.25">
      <c r="B36" s="109"/>
      <c r="C36" s="110"/>
      <c r="D36" s="111"/>
      <c r="E36" s="111"/>
      <c r="F36" s="111"/>
      <c r="G36" s="111"/>
      <c r="H36" s="111"/>
      <c r="I36" s="111"/>
      <c r="J36" s="111"/>
      <c r="K36" s="31"/>
      <c r="L36" s="107"/>
      <c r="M36" s="107"/>
      <c r="N36" s="107"/>
    </row>
    <row r="37" spans="2:14" s="22" customFormat="1" ht="23.25" customHeight="1" x14ac:dyDescent="0.25">
      <c r="B37" s="108"/>
      <c r="C37" s="110"/>
      <c r="D37" s="111"/>
      <c r="E37" s="111"/>
      <c r="F37" s="111"/>
      <c r="G37" s="111"/>
      <c r="H37" s="111"/>
      <c r="I37" s="111"/>
      <c r="J37" s="111"/>
      <c r="K37" s="30"/>
      <c r="L37" s="106"/>
      <c r="M37" s="106"/>
      <c r="N37" s="106"/>
    </row>
    <row r="38" spans="2:14" s="22" customFormat="1" ht="230.25" customHeight="1" x14ac:dyDescent="0.25">
      <c r="B38" s="109"/>
      <c r="C38" s="110"/>
      <c r="D38" s="111"/>
      <c r="E38" s="111"/>
      <c r="F38" s="111"/>
      <c r="G38" s="111"/>
      <c r="H38" s="111"/>
      <c r="I38" s="111"/>
      <c r="J38" s="111"/>
      <c r="K38" s="31"/>
      <c r="L38" s="107"/>
      <c r="M38" s="107"/>
      <c r="N38" s="107"/>
    </row>
    <row r="39" spans="2:14" s="22" customFormat="1" ht="24" customHeight="1" x14ac:dyDescent="0.25">
      <c r="B39" s="108"/>
      <c r="C39" s="110"/>
      <c r="D39" s="111"/>
      <c r="E39" s="111"/>
      <c r="F39" s="111"/>
      <c r="G39" s="111"/>
      <c r="H39" s="111"/>
      <c r="I39" s="111"/>
      <c r="J39" s="111"/>
      <c r="K39" s="30"/>
      <c r="L39" s="106"/>
      <c r="M39" s="106"/>
      <c r="N39" s="106"/>
    </row>
    <row r="40" spans="2:14" s="22" customFormat="1" ht="162" customHeight="1" x14ac:dyDescent="0.25">
      <c r="B40" s="109"/>
      <c r="C40" s="110"/>
      <c r="D40" s="111"/>
      <c r="E40" s="111"/>
      <c r="F40" s="111"/>
      <c r="G40" s="111"/>
      <c r="H40" s="111"/>
      <c r="I40" s="111"/>
      <c r="J40" s="111"/>
      <c r="K40" s="31"/>
      <c r="L40" s="107"/>
      <c r="M40" s="107"/>
      <c r="N40" s="107"/>
    </row>
    <row r="41" spans="2:14" s="22" customFormat="1" ht="24" customHeight="1" x14ac:dyDescent="0.25">
      <c r="B41" s="108"/>
      <c r="C41" s="110"/>
      <c r="D41" s="111"/>
      <c r="E41" s="111"/>
      <c r="F41" s="111"/>
      <c r="G41" s="111"/>
      <c r="H41" s="111"/>
      <c r="I41" s="111"/>
      <c r="J41" s="111"/>
      <c r="K41" s="30"/>
      <c r="L41" s="106"/>
      <c r="M41" s="106"/>
      <c r="N41" s="106"/>
    </row>
    <row r="42" spans="2:14" s="22" customFormat="1" ht="162" customHeight="1" x14ac:dyDescent="0.25">
      <c r="B42" s="109"/>
      <c r="C42" s="110"/>
      <c r="D42" s="111"/>
      <c r="E42" s="111"/>
      <c r="F42" s="111"/>
      <c r="G42" s="111"/>
      <c r="H42" s="111"/>
      <c r="I42" s="111"/>
      <c r="J42" s="111"/>
      <c r="K42" s="31"/>
      <c r="L42" s="107"/>
      <c r="M42" s="107"/>
      <c r="N42" s="107"/>
    </row>
    <row r="43" spans="2:14" s="22" customFormat="1" ht="27.75" customHeight="1" x14ac:dyDescent="0.25">
      <c r="B43" s="108"/>
      <c r="C43" s="110"/>
      <c r="D43" s="111"/>
      <c r="E43" s="111"/>
      <c r="F43" s="111"/>
      <c r="G43" s="111"/>
      <c r="H43" s="111"/>
      <c r="I43" s="111"/>
      <c r="J43" s="111"/>
      <c r="K43" s="30"/>
      <c r="L43" s="106"/>
      <c r="M43" s="106"/>
      <c r="N43" s="106"/>
    </row>
    <row r="44" spans="2:14" s="22" customFormat="1" ht="162" customHeight="1" x14ac:dyDescent="0.25">
      <c r="B44" s="109"/>
      <c r="C44" s="110"/>
      <c r="D44" s="111"/>
      <c r="E44" s="111"/>
      <c r="F44" s="111"/>
      <c r="G44" s="111"/>
      <c r="H44" s="111"/>
      <c r="I44" s="111"/>
      <c r="J44" s="111"/>
      <c r="K44" s="31"/>
      <c r="L44" s="107"/>
      <c r="M44" s="107"/>
      <c r="N44" s="107"/>
    </row>
    <row r="45" spans="2:14" s="22" customFormat="1" ht="25.5" customHeight="1" x14ac:dyDescent="0.25">
      <c r="B45" s="108"/>
      <c r="C45" s="110"/>
      <c r="D45" s="111"/>
      <c r="E45" s="111"/>
      <c r="F45" s="111"/>
      <c r="G45" s="111"/>
      <c r="H45" s="111"/>
      <c r="I45" s="111"/>
      <c r="J45" s="111"/>
      <c r="K45" s="30"/>
      <c r="L45" s="106"/>
      <c r="M45" s="106"/>
      <c r="N45" s="106"/>
    </row>
    <row r="46" spans="2:14" s="22" customFormat="1" ht="162" customHeight="1" x14ac:dyDescent="0.25">
      <c r="B46" s="109"/>
      <c r="C46" s="110"/>
      <c r="D46" s="111"/>
      <c r="E46" s="111"/>
      <c r="F46" s="111"/>
      <c r="G46" s="111"/>
      <c r="H46" s="111"/>
      <c r="I46" s="111"/>
      <c r="J46" s="111"/>
      <c r="K46" s="31"/>
      <c r="L46" s="107"/>
      <c r="M46" s="107"/>
      <c r="N46" s="107"/>
    </row>
    <row r="47" spans="2:14" s="22" customFormat="1" ht="23.25" customHeight="1" x14ac:dyDescent="0.25">
      <c r="B47" s="108"/>
      <c r="C47" s="110"/>
      <c r="D47" s="111"/>
      <c r="E47" s="111"/>
      <c r="F47" s="111"/>
      <c r="G47" s="111"/>
      <c r="H47" s="111"/>
      <c r="I47" s="111"/>
      <c r="J47" s="111"/>
      <c r="K47" s="30"/>
      <c r="L47" s="106"/>
      <c r="M47" s="106"/>
      <c r="N47" s="106"/>
    </row>
    <row r="48" spans="2:14" s="22" customFormat="1" ht="162" customHeight="1" x14ac:dyDescent="0.25">
      <c r="B48" s="109"/>
      <c r="C48" s="110"/>
      <c r="D48" s="111"/>
      <c r="E48" s="111"/>
      <c r="F48" s="111"/>
      <c r="G48" s="111"/>
      <c r="H48" s="111"/>
      <c r="I48" s="111"/>
      <c r="J48" s="111"/>
      <c r="K48" s="31"/>
      <c r="L48" s="107"/>
      <c r="M48" s="107"/>
      <c r="N48" s="107"/>
    </row>
    <row r="49" spans="2:14" s="22" customFormat="1" ht="30.75" customHeight="1" x14ac:dyDescent="0.25">
      <c r="B49" s="108"/>
      <c r="C49" s="110"/>
      <c r="D49" s="111"/>
      <c r="E49" s="111"/>
      <c r="F49" s="111"/>
      <c r="G49" s="111"/>
      <c r="H49" s="111"/>
      <c r="I49" s="111"/>
      <c r="J49" s="111"/>
      <c r="K49" s="30"/>
      <c r="L49" s="106"/>
      <c r="M49" s="106"/>
      <c r="N49" s="106"/>
    </row>
    <row r="50" spans="2:14" s="22" customFormat="1" ht="162" customHeight="1" x14ac:dyDescent="0.25">
      <c r="B50" s="109"/>
      <c r="C50" s="110"/>
      <c r="D50" s="111"/>
      <c r="E50" s="111"/>
      <c r="F50" s="111"/>
      <c r="G50" s="111"/>
      <c r="H50" s="111"/>
      <c r="I50" s="111"/>
      <c r="J50" s="111"/>
      <c r="K50" s="31"/>
      <c r="L50" s="107"/>
      <c r="M50" s="107"/>
      <c r="N50" s="107"/>
    </row>
    <row r="51" spans="2:14" s="22" customFormat="1" ht="23.25" customHeight="1" x14ac:dyDescent="0.25">
      <c r="B51" s="108"/>
      <c r="C51" s="110"/>
      <c r="D51" s="111"/>
      <c r="E51" s="111"/>
      <c r="F51" s="111"/>
      <c r="G51" s="111"/>
      <c r="H51" s="111"/>
      <c r="I51" s="111"/>
      <c r="J51" s="111"/>
      <c r="K51" s="30"/>
      <c r="L51" s="106"/>
      <c r="M51" s="106"/>
      <c r="N51" s="106"/>
    </row>
    <row r="52" spans="2:14" s="22" customFormat="1" ht="162" customHeight="1" x14ac:dyDescent="0.25">
      <c r="B52" s="109"/>
      <c r="C52" s="110"/>
      <c r="D52" s="111"/>
      <c r="E52" s="111"/>
      <c r="F52" s="111"/>
      <c r="G52" s="111"/>
      <c r="H52" s="111"/>
      <c r="I52" s="111"/>
      <c r="J52" s="111"/>
      <c r="K52" s="31"/>
      <c r="L52" s="107"/>
      <c r="M52" s="107"/>
      <c r="N52" s="107"/>
    </row>
    <row r="53" spans="2:14" s="22" customFormat="1" ht="21.75" customHeight="1" x14ac:dyDescent="0.25">
      <c r="B53" s="108"/>
      <c r="C53" s="110"/>
      <c r="D53" s="111"/>
      <c r="E53" s="111"/>
      <c r="F53" s="111"/>
      <c r="G53" s="111"/>
      <c r="H53" s="111"/>
      <c r="I53" s="111"/>
      <c r="J53" s="111"/>
      <c r="K53" s="30"/>
      <c r="L53" s="106"/>
      <c r="M53" s="106"/>
      <c r="N53" s="106"/>
    </row>
    <row r="54" spans="2:14" s="22" customFormat="1" ht="162" customHeight="1" x14ac:dyDescent="0.25">
      <c r="B54" s="109"/>
      <c r="C54" s="110"/>
      <c r="D54" s="111"/>
      <c r="E54" s="111"/>
      <c r="F54" s="111"/>
      <c r="G54" s="111"/>
      <c r="H54" s="111"/>
      <c r="I54" s="111"/>
      <c r="J54" s="111"/>
      <c r="K54" s="31"/>
      <c r="L54" s="107"/>
      <c r="M54" s="107"/>
      <c r="N54" s="107"/>
    </row>
    <row r="55" spans="2:14" s="22" customFormat="1" ht="18.75" customHeight="1" x14ac:dyDescent="0.25"/>
  </sheetData>
  <sheetProtection algorithmName="SHA-512" hashValue="+MMsIfdPO8wj5TqXvvgkH8vQJHcNw/skD3Bz2u+3oHHNoqt78WNBkCI8+5n2gb4R5GBKrPHvTneyBA+YBBE4ow==" saltValue="fMd09FlYjfjpey46ie4xcA==" spinCount="100000" sheet="1" objects="1"/>
  <mergeCells count="188">
    <mergeCell ref="B6:D6"/>
    <mergeCell ref="E6:J6"/>
    <mergeCell ref="L6:N6"/>
    <mergeCell ref="B7:N7"/>
    <mergeCell ref="B8:N8"/>
    <mergeCell ref="B9:H9"/>
    <mergeCell ref="L9:N9"/>
    <mergeCell ref="B4:D4"/>
    <mergeCell ref="E4:G4"/>
    <mergeCell ref="I4:J4"/>
    <mergeCell ref="L4:N4"/>
    <mergeCell ref="B5:D5"/>
    <mergeCell ref="E5:G5"/>
    <mergeCell ref="I5:J5"/>
    <mergeCell ref="L5:N5"/>
    <mergeCell ref="B10:N10"/>
    <mergeCell ref="B11:N11"/>
    <mergeCell ref="D12:F12"/>
    <mergeCell ref="G12:H12"/>
    <mergeCell ref="L12:N12"/>
    <mergeCell ref="B13:B14"/>
    <mergeCell ref="C13:C14"/>
    <mergeCell ref="D13:F14"/>
    <mergeCell ref="G13:H14"/>
    <mergeCell ref="I13:I14"/>
    <mergeCell ref="J13:J14"/>
    <mergeCell ref="L13:N13"/>
    <mergeCell ref="L14:N14"/>
    <mergeCell ref="B15:B16"/>
    <mergeCell ref="C15:C16"/>
    <mergeCell ref="D15:F16"/>
    <mergeCell ref="G15:H16"/>
    <mergeCell ref="I15:I16"/>
    <mergeCell ref="J15:J16"/>
    <mergeCell ref="L15:N15"/>
    <mergeCell ref="L16:N16"/>
    <mergeCell ref="B17:B18"/>
    <mergeCell ref="C17:C18"/>
    <mergeCell ref="D17:F18"/>
    <mergeCell ref="G17:H18"/>
    <mergeCell ref="I17:I18"/>
    <mergeCell ref="J17:J18"/>
    <mergeCell ref="L17:N17"/>
    <mergeCell ref="L18:N18"/>
    <mergeCell ref="L19:N19"/>
    <mergeCell ref="L20:N20"/>
    <mergeCell ref="B21:B22"/>
    <mergeCell ref="C21:C22"/>
    <mergeCell ref="D21:F22"/>
    <mergeCell ref="G21:H22"/>
    <mergeCell ref="I21:I22"/>
    <mergeCell ref="J21:J22"/>
    <mergeCell ref="L21:N21"/>
    <mergeCell ref="L22:N22"/>
    <mergeCell ref="B19:B20"/>
    <mergeCell ref="C19:C20"/>
    <mergeCell ref="D19:F20"/>
    <mergeCell ref="G19:H20"/>
    <mergeCell ref="I19:I20"/>
    <mergeCell ref="J19:J20"/>
    <mergeCell ref="L23:N23"/>
    <mergeCell ref="L24:N24"/>
    <mergeCell ref="B25:B26"/>
    <mergeCell ref="C25:C26"/>
    <mergeCell ref="D25:F26"/>
    <mergeCell ref="G25:H26"/>
    <mergeCell ref="I25:I26"/>
    <mergeCell ref="J25:J26"/>
    <mergeCell ref="L25:N25"/>
    <mergeCell ref="L26:N26"/>
    <mergeCell ref="B23:B24"/>
    <mergeCell ref="C23:C24"/>
    <mergeCell ref="D23:F24"/>
    <mergeCell ref="G23:H24"/>
    <mergeCell ref="I23:I24"/>
    <mergeCell ref="J23:J24"/>
    <mergeCell ref="L27:N27"/>
    <mergeCell ref="L28:N28"/>
    <mergeCell ref="B29:B30"/>
    <mergeCell ref="C29:C30"/>
    <mergeCell ref="D29:F30"/>
    <mergeCell ref="G29:H30"/>
    <mergeCell ref="I29:I30"/>
    <mergeCell ref="J29:J30"/>
    <mergeCell ref="L29:N29"/>
    <mergeCell ref="L30:N30"/>
    <mergeCell ref="B27:B28"/>
    <mergeCell ref="C27:C28"/>
    <mergeCell ref="D27:F28"/>
    <mergeCell ref="G27:H28"/>
    <mergeCell ref="I27:I28"/>
    <mergeCell ref="J27:J28"/>
    <mergeCell ref="L31:N31"/>
    <mergeCell ref="L32:N32"/>
    <mergeCell ref="B33:B34"/>
    <mergeCell ref="C33:C34"/>
    <mergeCell ref="D33:F34"/>
    <mergeCell ref="G33:H34"/>
    <mergeCell ref="I33:I34"/>
    <mergeCell ref="J33:J34"/>
    <mergeCell ref="L33:N33"/>
    <mergeCell ref="L34:N34"/>
    <mergeCell ref="B31:B32"/>
    <mergeCell ref="C31:C32"/>
    <mergeCell ref="D31:F32"/>
    <mergeCell ref="G31:H32"/>
    <mergeCell ref="I31:I32"/>
    <mergeCell ref="J31:J32"/>
    <mergeCell ref="L35:N35"/>
    <mergeCell ref="L36:N36"/>
    <mergeCell ref="B37:B38"/>
    <mergeCell ref="C37:C38"/>
    <mergeCell ref="D37:F38"/>
    <mergeCell ref="G37:H38"/>
    <mergeCell ref="I37:I38"/>
    <mergeCell ref="J37:J38"/>
    <mergeCell ref="L37:N37"/>
    <mergeCell ref="L38:N38"/>
    <mergeCell ref="B35:B36"/>
    <mergeCell ref="C35:C36"/>
    <mergeCell ref="D35:F36"/>
    <mergeCell ref="G35:H36"/>
    <mergeCell ref="I35:I36"/>
    <mergeCell ref="J35:J36"/>
    <mergeCell ref="L39:N39"/>
    <mergeCell ref="L40:N40"/>
    <mergeCell ref="B41:B42"/>
    <mergeCell ref="C41:C42"/>
    <mergeCell ref="D41:F42"/>
    <mergeCell ref="G41:H42"/>
    <mergeCell ref="I41:I42"/>
    <mergeCell ref="J41:J42"/>
    <mergeCell ref="L41:N41"/>
    <mergeCell ref="L42:N42"/>
    <mergeCell ref="B39:B40"/>
    <mergeCell ref="C39:C40"/>
    <mergeCell ref="D39:F40"/>
    <mergeCell ref="G39:H40"/>
    <mergeCell ref="I39:I40"/>
    <mergeCell ref="J39:J40"/>
    <mergeCell ref="L43:N43"/>
    <mergeCell ref="L44:N44"/>
    <mergeCell ref="B45:B46"/>
    <mergeCell ref="C45:C46"/>
    <mergeCell ref="D45:F46"/>
    <mergeCell ref="G45:H46"/>
    <mergeCell ref="I45:I46"/>
    <mergeCell ref="J45:J46"/>
    <mergeCell ref="L45:N45"/>
    <mergeCell ref="L46:N46"/>
    <mergeCell ref="B43:B44"/>
    <mergeCell ref="C43:C44"/>
    <mergeCell ref="D43:F44"/>
    <mergeCell ref="G43:H44"/>
    <mergeCell ref="I43:I44"/>
    <mergeCell ref="J43:J44"/>
    <mergeCell ref="L47:N47"/>
    <mergeCell ref="L48:N48"/>
    <mergeCell ref="B49:B50"/>
    <mergeCell ref="C49:C50"/>
    <mergeCell ref="D49:F50"/>
    <mergeCell ref="G49:H50"/>
    <mergeCell ref="I49:I50"/>
    <mergeCell ref="J49:J50"/>
    <mergeCell ref="L49:N49"/>
    <mergeCell ref="L50:N50"/>
    <mergeCell ref="B47:B48"/>
    <mergeCell ref="C47:C48"/>
    <mergeCell ref="D47:F48"/>
    <mergeCell ref="G47:H48"/>
    <mergeCell ref="I47:I48"/>
    <mergeCell ref="J47:J48"/>
    <mergeCell ref="L51:N51"/>
    <mergeCell ref="L52:N52"/>
    <mergeCell ref="B53:B54"/>
    <mergeCell ref="C53:C54"/>
    <mergeCell ref="D53:F54"/>
    <mergeCell ref="G53:H54"/>
    <mergeCell ref="I53:I54"/>
    <mergeCell ref="J53:J54"/>
    <mergeCell ref="L53:N53"/>
    <mergeCell ref="L54:N54"/>
    <mergeCell ref="B51:B52"/>
    <mergeCell ref="C51:C52"/>
    <mergeCell ref="D51:F52"/>
    <mergeCell ref="G51:H52"/>
    <mergeCell ref="I51:I52"/>
    <mergeCell ref="J51:J52"/>
  </mergeCells>
  <printOptions horizontalCentered="1"/>
  <pageMargins left="0.27559055118110237" right="0.19685039370078741" top="0.27559055118110237" bottom="0.19685039370078741" header="0.31496062992125984" footer="0.31496062992125984"/>
  <pageSetup paperSize="9" orientation="landscape"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BC1EE20-B0F5-4B94-90D0-26118C569647}">
          <x14:formula1>
            <xm:f>Base!$B$2:$B$10</xm:f>
          </x14:formula1>
          <xm:sqref>L15:N15 L53:N53 L17:N17 L19:N19 L21:N21 L23:N23 L25:N25 L27:N27 L29:N29 L31:N31 L33:N33 L35:N35 L37:N37 L39:N39 L41:N41 L43:N43 L45:N45 L47:N47 L49:N49 L51:N51 L13:N13</xm:sqref>
        </x14:dataValidation>
        <x14:dataValidation type="list" allowBlank="1" showInputMessage="1" showErrorMessage="1" xr:uid="{966CC0AA-EFBC-4DD6-8E1F-0BF4ADF42BBD}">
          <x14:formula1>
            <xm:f>Base!$A$2:$A$14</xm:f>
          </x14:formula1>
          <xm:sqref>K15 K53 K17 K19 K21 K23 K25 K27 K29 K31 K33 K35 K37 K39 K41 K43 K45 K47 K49 K51 K13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D5226-CD02-4FF4-9208-0C5C9960E7A7}">
  <sheetPr codeName="Planilha11">
    <tabColor theme="6"/>
  </sheetPr>
  <dimension ref="B1:W55"/>
  <sheetViews>
    <sheetView showGridLines="0" zoomScale="66" zoomScaleNormal="66" workbookViewId="0">
      <selection activeCell="D15" sqref="D15:F16"/>
    </sheetView>
  </sheetViews>
  <sheetFormatPr defaultColWidth="9.28515625" defaultRowHeight="18.75" customHeight="1" x14ac:dyDescent="0.25"/>
  <cols>
    <col min="1" max="1" width="1.85546875" style="4" customWidth="1"/>
    <col min="2" max="2" width="19" style="4" customWidth="1"/>
    <col min="3" max="3" width="14.42578125" style="4" customWidth="1"/>
    <col min="4" max="4" width="42.42578125" style="4" customWidth="1"/>
    <col min="5" max="5" width="27" style="4" customWidth="1"/>
    <col min="6" max="6" width="24.42578125" style="4" customWidth="1"/>
    <col min="7" max="7" width="27.140625" style="4" customWidth="1"/>
    <col min="8" max="8" width="44.140625" style="4" customWidth="1"/>
    <col min="9" max="9" width="56.7109375" style="4" customWidth="1"/>
    <col min="10" max="10" width="39.85546875" style="4" customWidth="1"/>
    <col min="11" max="11" width="54" style="4" customWidth="1"/>
    <col min="12" max="12" width="15.28515625" style="4" customWidth="1"/>
    <col min="13" max="13" width="9.7109375" style="4" customWidth="1"/>
    <col min="14" max="14" width="33.42578125" style="4" customWidth="1"/>
    <col min="15" max="15" width="2" style="4" customWidth="1"/>
    <col min="16" max="16384" width="9.28515625" style="4"/>
  </cols>
  <sheetData>
    <row r="1" spans="2:23" ht="8.25" customHeight="1" x14ac:dyDescent="0.25"/>
    <row r="2" spans="2:23" ht="96.6" customHeight="1" x14ac:dyDescent="0.25">
      <c r="B2" s="46" t="s">
        <v>83</v>
      </c>
      <c r="C2" s="42"/>
      <c r="D2" s="42"/>
      <c r="E2" s="42"/>
      <c r="F2" s="42"/>
      <c r="G2" s="42"/>
      <c r="H2" s="43"/>
      <c r="I2" s="43"/>
      <c r="J2" s="43"/>
      <c r="K2" s="43"/>
      <c r="L2" s="5"/>
      <c r="M2" s="5"/>
      <c r="N2" s="6"/>
    </row>
    <row r="3" spans="2:23" ht="7.5" customHeight="1" x14ac:dyDescent="0.25">
      <c r="B3" s="41"/>
      <c r="C3" s="19"/>
      <c r="D3" s="19"/>
      <c r="E3" s="19"/>
      <c r="F3" s="19"/>
      <c r="G3" s="19"/>
      <c r="H3" s="5"/>
      <c r="I3" s="5"/>
      <c r="J3" s="5"/>
      <c r="K3" s="5"/>
      <c r="L3" s="5"/>
      <c r="M3" s="5"/>
      <c r="N3" s="5"/>
    </row>
    <row r="4" spans="2:23" ht="37.9" customHeight="1" x14ac:dyDescent="0.25">
      <c r="B4" s="98" t="s">
        <v>62</v>
      </c>
      <c r="C4" s="98"/>
      <c r="D4" s="98"/>
      <c r="E4" s="157">
        <f>'Plano de Ensino'!C4</f>
        <v>0</v>
      </c>
      <c r="F4" s="157"/>
      <c r="G4" s="158"/>
      <c r="H4" s="9" t="s">
        <v>63</v>
      </c>
      <c r="I4" s="159">
        <f>'Plano de Ensino'!H4</f>
        <v>0</v>
      </c>
      <c r="J4" s="160"/>
      <c r="K4" s="9" t="s">
        <v>64</v>
      </c>
      <c r="L4" s="161">
        <f>'Plano de Ensino'!J4</f>
        <v>0</v>
      </c>
      <c r="M4" s="161"/>
      <c r="N4" s="162"/>
    </row>
    <row r="5" spans="2:23" ht="37.9" customHeight="1" x14ac:dyDescent="0.25">
      <c r="B5" s="90" t="s">
        <v>65</v>
      </c>
      <c r="C5" s="163"/>
      <c r="D5" s="91"/>
      <c r="E5" s="164">
        <f>'Plano de Ensino'!D5</f>
        <v>0</v>
      </c>
      <c r="F5" s="164"/>
      <c r="G5" s="165"/>
      <c r="H5" s="20" t="s">
        <v>66</v>
      </c>
      <c r="I5" s="166">
        <f>'Plano de Ensino'!H5</f>
        <v>0</v>
      </c>
      <c r="J5" s="167"/>
      <c r="K5" s="9" t="s">
        <v>67</v>
      </c>
      <c r="L5" s="161">
        <f>'Plano de Ensino'!J5</f>
        <v>0</v>
      </c>
      <c r="M5" s="161"/>
      <c r="N5" s="162"/>
      <c r="V5" s="15"/>
      <c r="W5" s="16"/>
    </row>
    <row r="6" spans="2:23" ht="37.9" customHeight="1" x14ac:dyDescent="0.25">
      <c r="B6" s="98" t="s">
        <v>84</v>
      </c>
      <c r="C6" s="98"/>
      <c r="D6" s="98"/>
      <c r="E6" s="154" t="s">
        <v>85</v>
      </c>
      <c r="F6" s="155"/>
      <c r="G6" s="155"/>
      <c r="H6" s="155"/>
      <c r="I6" s="155"/>
      <c r="J6" s="156"/>
      <c r="K6" s="9" t="s">
        <v>86</v>
      </c>
      <c r="L6" s="145">
        <f>SUM(C13:C54)</f>
        <v>0</v>
      </c>
      <c r="M6" s="145"/>
      <c r="N6" s="146"/>
    </row>
    <row r="7" spans="2:23" ht="8.25" customHeight="1" x14ac:dyDescent="0.25">
      <c r="B7" s="78"/>
      <c r="C7" s="78"/>
      <c r="D7" s="78"/>
      <c r="E7" s="78"/>
      <c r="F7" s="78"/>
      <c r="G7" s="78"/>
      <c r="H7" s="78"/>
      <c r="I7" s="78"/>
      <c r="J7" s="78"/>
      <c r="K7" s="78"/>
      <c r="L7" s="78"/>
      <c r="M7" s="78"/>
      <c r="N7" s="78"/>
    </row>
    <row r="8" spans="2:23" ht="37.9" customHeight="1" x14ac:dyDescent="0.25">
      <c r="B8" s="147" t="s">
        <v>83</v>
      </c>
      <c r="C8" s="148"/>
      <c r="D8" s="148"/>
      <c r="E8" s="148"/>
      <c r="F8" s="148"/>
      <c r="G8" s="148"/>
      <c r="H8" s="148"/>
      <c r="I8" s="148"/>
      <c r="J8" s="148"/>
      <c r="K8" s="148"/>
      <c r="L8" s="148"/>
      <c r="M8" s="148"/>
      <c r="N8" s="149"/>
    </row>
    <row r="9" spans="2:23" ht="36" customHeight="1" x14ac:dyDescent="0.25">
      <c r="B9" s="150" t="s">
        <v>87</v>
      </c>
      <c r="C9" s="151"/>
      <c r="D9" s="151"/>
      <c r="E9" s="151"/>
      <c r="F9" s="151"/>
      <c r="G9" s="151"/>
      <c r="H9" s="152"/>
      <c r="I9" s="11" t="s">
        <v>88</v>
      </c>
      <c r="J9" s="27"/>
      <c r="K9" s="11" t="s">
        <v>89</v>
      </c>
      <c r="L9" s="153"/>
      <c r="M9" s="85"/>
      <c r="N9" s="86"/>
    </row>
    <row r="10" spans="2:23" ht="121.5" customHeight="1" x14ac:dyDescent="0.25">
      <c r="B10" s="131"/>
      <c r="C10" s="132"/>
      <c r="D10" s="132"/>
      <c r="E10" s="132"/>
      <c r="F10" s="132"/>
      <c r="G10" s="132"/>
      <c r="H10" s="132"/>
      <c r="I10" s="132"/>
      <c r="J10" s="132"/>
      <c r="K10" s="132"/>
      <c r="L10" s="132"/>
      <c r="M10" s="132"/>
      <c r="N10" s="133"/>
    </row>
    <row r="11" spans="2:23" ht="37.5" customHeight="1" x14ac:dyDescent="0.25">
      <c r="B11" s="134" t="s">
        <v>90</v>
      </c>
      <c r="C11" s="135"/>
      <c r="D11" s="135"/>
      <c r="E11" s="135"/>
      <c r="F11" s="135"/>
      <c r="G11" s="135"/>
      <c r="H11" s="135"/>
      <c r="I11" s="135"/>
      <c r="J11" s="135"/>
      <c r="K11" s="135"/>
      <c r="L11" s="135"/>
      <c r="M11" s="135"/>
      <c r="N11" s="136"/>
    </row>
    <row r="12" spans="2:23" s="21" customFormat="1" ht="50.25" customHeight="1" x14ac:dyDescent="0.25">
      <c r="B12" s="44" t="s">
        <v>91</v>
      </c>
      <c r="C12" s="44" t="s">
        <v>92</v>
      </c>
      <c r="D12" s="137" t="s">
        <v>93</v>
      </c>
      <c r="E12" s="137"/>
      <c r="F12" s="137"/>
      <c r="G12" s="137" t="s">
        <v>79</v>
      </c>
      <c r="H12" s="137"/>
      <c r="I12" s="44" t="s">
        <v>94</v>
      </c>
      <c r="J12" s="44" t="s">
        <v>95</v>
      </c>
      <c r="K12" s="45" t="s">
        <v>96</v>
      </c>
      <c r="L12" s="138" t="s">
        <v>1</v>
      </c>
      <c r="M12" s="138"/>
      <c r="N12" s="138"/>
    </row>
    <row r="13" spans="2:23" s="22" customFormat="1" ht="24.6" customHeight="1" x14ac:dyDescent="0.25">
      <c r="B13" s="124"/>
      <c r="C13" s="110"/>
      <c r="D13" s="139"/>
      <c r="E13" s="140"/>
      <c r="F13" s="141"/>
      <c r="G13" s="111"/>
      <c r="H13" s="111"/>
      <c r="I13" s="111"/>
      <c r="J13" s="111"/>
      <c r="K13" s="30"/>
      <c r="L13" s="106"/>
      <c r="M13" s="106"/>
      <c r="N13" s="106"/>
    </row>
    <row r="14" spans="2:23" s="22" customFormat="1" ht="177.75" customHeight="1" x14ac:dyDescent="0.25">
      <c r="B14" s="124"/>
      <c r="C14" s="110"/>
      <c r="D14" s="142"/>
      <c r="E14" s="143"/>
      <c r="F14" s="144"/>
      <c r="G14" s="111"/>
      <c r="H14" s="111"/>
      <c r="I14" s="111"/>
      <c r="J14" s="111"/>
      <c r="K14" s="30"/>
      <c r="L14" s="106"/>
      <c r="M14" s="106"/>
      <c r="N14" s="106"/>
    </row>
    <row r="15" spans="2:23" s="22" customFormat="1" ht="29.25" customHeight="1" x14ac:dyDescent="0.25">
      <c r="B15" s="124"/>
      <c r="C15" s="110"/>
      <c r="D15" s="125"/>
      <c r="E15" s="126"/>
      <c r="F15" s="127"/>
      <c r="G15" s="111"/>
      <c r="H15" s="111"/>
      <c r="I15" s="111"/>
      <c r="J15" s="111"/>
      <c r="K15" s="30"/>
      <c r="L15" s="106"/>
      <c r="M15" s="106"/>
      <c r="N15" s="106"/>
    </row>
    <row r="16" spans="2:23" s="22" customFormat="1" ht="162" customHeight="1" x14ac:dyDescent="0.25">
      <c r="B16" s="124"/>
      <c r="C16" s="110"/>
      <c r="D16" s="128"/>
      <c r="E16" s="129"/>
      <c r="F16" s="130"/>
      <c r="G16" s="111"/>
      <c r="H16" s="111"/>
      <c r="I16" s="111"/>
      <c r="J16" s="111"/>
      <c r="K16" s="30"/>
      <c r="L16" s="106"/>
      <c r="M16" s="106"/>
      <c r="N16" s="106"/>
    </row>
    <row r="17" spans="2:14" s="22" customFormat="1" ht="27.75" customHeight="1" x14ac:dyDescent="0.25">
      <c r="B17" s="108"/>
      <c r="C17" s="110"/>
      <c r="D17" s="111"/>
      <c r="E17" s="111"/>
      <c r="F17" s="111"/>
      <c r="G17" s="111"/>
      <c r="H17" s="111"/>
      <c r="I17" s="111"/>
      <c r="J17" s="111"/>
      <c r="K17" s="30"/>
      <c r="L17" s="106"/>
      <c r="M17" s="106"/>
      <c r="N17" s="106"/>
    </row>
    <row r="18" spans="2:14" s="22" customFormat="1" ht="162" customHeight="1" x14ac:dyDescent="0.25">
      <c r="B18" s="109"/>
      <c r="C18" s="110"/>
      <c r="D18" s="111"/>
      <c r="E18" s="111"/>
      <c r="F18" s="111"/>
      <c r="G18" s="111"/>
      <c r="H18" s="111"/>
      <c r="I18" s="111"/>
      <c r="J18" s="111"/>
      <c r="K18" s="31"/>
      <c r="L18" s="107"/>
      <c r="M18" s="107"/>
      <c r="N18" s="107"/>
    </row>
    <row r="19" spans="2:14" s="22" customFormat="1" ht="28.5" customHeight="1" x14ac:dyDescent="0.25">
      <c r="B19" s="108"/>
      <c r="C19" s="110"/>
      <c r="D19" s="111"/>
      <c r="E19" s="111"/>
      <c r="F19" s="111"/>
      <c r="G19" s="111"/>
      <c r="H19" s="111"/>
      <c r="I19" s="111"/>
      <c r="J19" s="111"/>
      <c r="K19" s="30"/>
      <c r="L19" s="106"/>
      <c r="M19" s="106"/>
      <c r="N19" s="106"/>
    </row>
    <row r="20" spans="2:14" s="22" customFormat="1" ht="162" customHeight="1" x14ac:dyDescent="0.25">
      <c r="B20" s="109"/>
      <c r="C20" s="110"/>
      <c r="D20" s="111"/>
      <c r="E20" s="111"/>
      <c r="F20" s="111"/>
      <c r="G20" s="111"/>
      <c r="H20" s="111"/>
      <c r="I20" s="111"/>
      <c r="J20" s="111"/>
      <c r="K20" s="31"/>
      <c r="L20" s="107"/>
      <c r="M20" s="107"/>
      <c r="N20" s="107"/>
    </row>
    <row r="21" spans="2:14" s="22" customFormat="1" ht="25.5" customHeight="1" x14ac:dyDescent="0.25">
      <c r="B21" s="108"/>
      <c r="C21" s="114"/>
      <c r="D21" s="116"/>
      <c r="E21" s="117"/>
      <c r="F21" s="118"/>
      <c r="G21" s="116"/>
      <c r="H21" s="118"/>
      <c r="I21" s="122"/>
      <c r="J21" s="122"/>
      <c r="K21" s="30"/>
      <c r="L21" s="106"/>
      <c r="M21" s="106"/>
      <c r="N21" s="106"/>
    </row>
    <row r="22" spans="2:14" s="22" customFormat="1" ht="162" customHeight="1" x14ac:dyDescent="0.25">
      <c r="B22" s="109"/>
      <c r="C22" s="115"/>
      <c r="D22" s="119"/>
      <c r="E22" s="120"/>
      <c r="F22" s="121"/>
      <c r="G22" s="119"/>
      <c r="H22" s="121"/>
      <c r="I22" s="123"/>
      <c r="J22" s="123"/>
      <c r="K22" s="31"/>
      <c r="L22" s="107"/>
      <c r="M22" s="107"/>
      <c r="N22" s="107"/>
    </row>
    <row r="23" spans="2:14" s="22" customFormat="1" ht="27.75" customHeight="1" x14ac:dyDescent="0.25">
      <c r="B23" s="108"/>
      <c r="C23" s="114"/>
      <c r="D23" s="116"/>
      <c r="E23" s="117"/>
      <c r="F23" s="118"/>
      <c r="G23" s="116"/>
      <c r="H23" s="118"/>
      <c r="I23" s="122"/>
      <c r="J23" s="122"/>
      <c r="K23" s="30"/>
      <c r="L23" s="106"/>
      <c r="M23" s="106"/>
      <c r="N23" s="106"/>
    </row>
    <row r="24" spans="2:14" s="22" customFormat="1" ht="162" customHeight="1" x14ac:dyDescent="0.25">
      <c r="B24" s="109"/>
      <c r="C24" s="115"/>
      <c r="D24" s="119"/>
      <c r="E24" s="120"/>
      <c r="F24" s="121"/>
      <c r="G24" s="119"/>
      <c r="H24" s="121"/>
      <c r="I24" s="123"/>
      <c r="J24" s="123"/>
      <c r="K24" s="31"/>
      <c r="L24" s="107"/>
      <c r="M24" s="107"/>
      <c r="N24" s="107"/>
    </row>
    <row r="25" spans="2:14" s="22" customFormat="1" ht="26.25" customHeight="1" x14ac:dyDescent="0.25">
      <c r="B25" s="108"/>
      <c r="C25" s="110"/>
      <c r="D25" s="112"/>
      <c r="E25" s="112"/>
      <c r="F25" s="112"/>
      <c r="G25" s="112"/>
      <c r="H25" s="112"/>
      <c r="I25" s="112"/>
      <c r="J25" s="111"/>
      <c r="K25" s="30"/>
      <c r="L25" s="106"/>
      <c r="M25" s="106"/>
      <c r="N25" s="106"/>
    </row>
    <row r="26" spans="2:14" s="22" customFormat="1" ht="166.5" customHeight="1" x14ac:dyDescent="0.25">
      <c r="B26" s="109"/>
      <c r="C26" s="110"/>
      <c r="D26" s="112"/>
      <c r="E26" s="112"/>
      <c r="F26" s="112"/>
      <c r="G26" s="112"/>
      <c r="H26" s="112"/>
      <c r="I26" s="112"/>
      <c r="J26" s="111"/>
      <c r="K26" s="32"/>
      <c r="L26" s="113"/>
      <c r="M26" s="113"/>
      <c r="N26" s="113"/>
    </row>
    <row r="27" spans="2:14" s="22" customFormat="1" ht="26.25" customHeight="1" x14ac:dyDescent="0.25">
      <c r="B27" s="108"/>
      <c r="C27" s="110"/>
      <c r="D27" s="111"/>
      <c r="E27" s="111"/>
      <c r="F27" s="111"/>
      <c r="G27" s="111"/>
      <c r="H27" s="111"/>
      <c r="I27" s="111"/>
      <c r="J27" s="111"/>
      <c r="K27" s="30"/>
      <c r="L27" s="106"/>
      <c r="M27" s="106"/>
      <c r="N27" s="106"/>
    </row>
    <row r="28" spans="2:14" s="22" customFormat="1" ht="162" customHeight="1" x14ac:dyDescent="0.25">
      <c r="B28" s="109"/>
      <c r="C28" s="110"/>
      <c r="D28" s="111"/>
      <c r="E28" s="111"/>
      <c r="F28" s="111"/>
      <c r="G28" s="111"/>
      <c r="H28" s="111"/>
      <c r="I28" s="111"/>
      <c r="J28" s="111"/>
      <c r="K28" s="31"/>
      <c r="L28" s="107"/>
      <c r="M28" s="107"/>
      <c r="N28" s="107"/>
    </row>
    <row r="29" spans="2:14" s="22" customFormat="1" ht="24" customHeight="1" x14ac:dyDescent="0.25">
      <c r="B29" s="108"/>
      <c r="C29" s="110"/>
      <c r="D29" s="111"/>
      <c r="E29" s="111"/>
      <c r="F29" s="111"/>
      <c r="G29" s="111"/>
      <c r="H29" s="111"/>
      <c r="I29" s="111"/>
      <c r="J29" s="111"/>
      <c r="K29" s="30"/>
      <c r="L29" s="106"/>
      <c r="M29" s="106"/>
      <c r="N29" s="106"/>
    </row>
    <row r="30" spans="2:14" s="22" customFormat="1" ht="162" customHeight="1" x14ac:dyDescent="0.25">
      <c r="B30" s="109"/>
      <c r="C30" s="110"/>
      <c r="D30" s="111"/>
      <c r="E30" s="111"/>
      <c r="F30" s="111"/>
      <c r="G30" s="111"/>
      <c r="H30" s="111"/>
      <c r="I30" s="111"/>
      <c r="J30" s="111"/>
      <c r="K30" s="31"/>
      <c r="L30" s="107"/>
      <c r="M30" s="107"/>
      <c r="N30" s="107"/>
    </row>
    <row r="31" spans="2:14" s="22" customFormat="1" ht="23.25" customHeight="1" x14ac:dyDescent="0.25">
      <c r="B31" s="108"/>
      <c r="C31" s="110"/>
      <c r="D31" s="111"/>
      <c r="E31" s="111"/>
      <c r="F31" s="111"/>
      <c r="G31" s="111"/>
      <c r="H31" s="111"/>
      <c r="I31" s="111"/>
      <c r="J31" s="111"/>
      <c r="K31" s="30"/>
      <c r="L31" s="106"/>
      <c r="M31" s="106"/>
      <c r="N31" s="106"/>
    </row>
    <row r="32" spans="2:14" s="22" customFormat="1" ht="162" customHeight="1" x14ac:dyDescent="0.25">
      <c r="B32" s="109"/>
      <c r="C32" s="110"/>
      <c r="D32" s="111"/>
      <c r="E32" s="111"/>
      <c r="F32" s="111"/>
      <c r="G32" s="111"/>
      <c r="H32" s="111"/>
      <c r="I32" s="111"/>
      <c r="J32" s="111"/>
      <c r="K32" s="31"/>
      <c r="L32" s="107"/>
      <c r="M32" s="107"/>
      <c r="N32" s="107"/>
    </row>
    <row r="33" spans="2:14" s="22" customFormat="1" ht="25.5" customHeight="1" x14ac:dyDescent="0.25">
      <c r="B33" s="108"/>
      <c r="C33" s="110"/>
      <c r="D33" s="111"/>
      <c r="E33" s="111"/>
      <c r="F33" s="111"/>
      <c r="G33" s="111"/>
      <c r="H33" s="111"/>
      <c r="I33" s="111"/>
      <c r="J33" s="111"/>
      <c r="K33" s="30"/>
      <c r="L33" s="106"/>
      <c r="M33" s="106"/>
      <c r="N33" s="106"/>
    </row>
    <row r="34" spans="2:14" s="22" customFormat="1" ht="162" customHeight="1" x14ac:dyDescent="0.25">
      <c r="B34" s="109"/>
      <c r="C34" s="110"/>
      <c r="D34" s="111"/>
      <c r="E34" s="111"/>
      <c r="F34" s="111"/>
      <c r="G34" s="111"/>
      <c r="H34" s="111"/>
      <c r="I34" s="111"/>
      <c r="J34" s="111"/>
      <c r="K34" s="31"/>
      <c r="L34" s="107"/>
      <c r="M34" s="107"/>
      <c r="N34" s="107"/>
    </row>
    <row r="35" spans="2:14" s="22" customFormat="1" ht="30.75" customHeight="1" x14ac:dyDescent="0.25">
      <c r="B35" s="108"/>
      <c r="C35" s="110"/>
      <c r="D35" s="111"/>
      <c r="E35" s="111"/>
      <c r="F35" s="111"/>
      <c r="G35" s="111"/>
      <c r="H35" s="111"/>
      <c r="I35" s="111"/>
      <c r="J35" s="111"/>
      <c r="K35" s="30"/>
      <c r="L35" s="106"/>
      <c r="M35" s="106"/>
      <c r="N35" s="106"/>
    </row>
    <row r="36" spans="2:14" s="22" customFormat="1" ht="162" customHeight="1" x14ac:dyDescent="0.25">
      <c r="B36" s="109"/>
      <c r="C36" s="110"/>
      <c r="D36" s="111"/>
      <c r="E36" s="111"/>
      <c r="F36" s="111"/>
      <c r="G36" s="111"/>
      <c r="H36" s="111"/>
      <c r="I36" s="111"/>
      <c r="J36" s="111"/>
      <c r="K36" s="31"/>
      <c r="L36" s="107"/>
      <c r="M36" s="107"/>
      <c r="N36" s="107"/>
    </row>
    <row r="37" spans="2:14" s="22" customFormat="1" ht="23.25" customHeight="1" x14ac:dyDescent="0.25">
      <c r="B37" s="108"/>
      <c r="C37" s="110"/>
      <c r="D37" s="111"/>
      <c r="E37" s="111"/>
      <c r="F37" s="111"/>
      <c r="G37" s="111"/>
      <c r="H37" s="111"/>
      <c r="I37" s="111"/>
      <c r="J37" s="111"/>
      <c r="K37" s="30"/>
      <c r="L37" s="106"/>
      <c r="M37" s="106"/>
      <c r="N37" s="106"/>
    </row>
    <row r="38" spans="2:14" s="22" customFormat="1" ht="230.25" customHeight="1" x14ac:dyDescent="0.25">
      <c r="B38" s="109"/>
      <c r="C38" s="110"/>
      <c r="D38" s="111"/>
      <c r="E38" s="111"/>
      <c r="F38" s="111"/>
      <c r="G38" s="111"/>
      <c r="H38" s="111"/>
      <c r="I38" s="111"/>
      <c r="J38" s="111"/>
      <c r="K38" s="31"/>
      <c r="L38" s="107"/>
      <c r="M38" s="107"/>
      <c r="N38" s="107"/>
    </row>
    <row r="39" spans="2:14" s="22" customFormat="1" ht="24" customHeight="1" x14ac:dyDescent="0.25">
      <c r="B39" s="108"/>
      <c r="C39" s="110"/>
      <c r="D39" s="111"/>
      <c r="E39" s="111"/>
      <c r="F39" s="111"/>
      <c r="G39" s="111"/>
      <c r="H39" s="111"/>
      <c r="I39" s="111"/>
      <c r="J39" s="111"/>
      <c r="K39" s="30"/>
      <c r="L39" s="106"/>
      <c r="M39" s="106"/>
      <c r="N39" s="106"/>
    </row>
    <row r="40" spans="2:14" s="22" customFormat="1" ht="162" customHeight="1" x14ac:dyDescent="0.25">
      <c r="B40" s="109"/>
      <c r="C40" s="110"/>
      <c r="D40" s="111"/>
      <c r="E40" s="111"/>
      <c r="F40" s="111"/>
      <c r="G40" s="111"/>
      <c r="H40" s="111"/>
      <c r="I40" s="111"/>
      <c r="J40" s="111"/>
      <c r="K40" s="31"/>
      <c r="L40" s="107"/>
      <c r="M40" s="107"/>
      <c r="N40" s="107"/>
    </row>
    <row r="41" spans="2:14" s="22" customFormat="1" ht="24" customHeight="1" x14ac:dyDescent="0.25">
      <c r="B41" s="108"/>
      <c r="C41" s="110"/>
      <c r="D41" s="111"/>
      <c r="E41" s="111"/>
      <c r="F41" s="111"/>
      <c r="G41" s="111"/>
      <c r="H41" s="111"/>
      <c r="I41" s="111"/>
      <c r="J41" s="111"/>
      <c r="K41" s="30"/>
      <c r="L41" s="106"/>
      <c r="M41" s="106"/>
      <c r="N41" s="106"/>
    </row>
    <row r="42" spans="2:14" s="22" customFormat="1" ht="162" customHeight="1" x14ac:dyDescent="0.25">
      <c r="B42" s="109"/>
      <c r="C42" s="110"/>
      <c r="D42" s="111"/>
      <c r="E42" s="111"/>
      <c r="F42" s="111"/>
      <c r="G42" s="111"/>
      <c r="H42" s="111"/>
      <c r="I42" s="111"/>
      <c r="J42" s="111"/>
      <c r="K42" s="31"/>
      <c r="L42" s="107"/>
      <c r="M42" s="107"/>
      <c r="N42" s="107"/>
    </row>
    <row r="43" spans="2:14" s="22" customFormat="1" ht="27.75" customHeight="1" x14ac:dyDescent="0.25">
      <c r="B43" s="108"/>
      <c r="C43" s="110"/>
      <c r="D43" s="111"/>
      <c r="E43" s="111"/>
      <c r="F43" s="111"/>
      <c r="G43" s="111"/>
      <c r="H43" s="111"/>
      <c r="I43" s="111"/>
      <c r="J43" s="111"/>
      <c r="K43" s="30"/>
      <c r="L43" s="106"/>
      <c r="M43" s="106"/>
      <c r="N43" s="106"/>
    </row>
    <row r="44" spans="2:14" s="22" customFormat="1" ht="162" customHeight="1" x14ac:dyDescent="0.25">
      <c r="B44" s="109"/>
      <c r="C44" s="110"/>
      <c r="D44" s="111"/>
      <c r="E44" s="111"/>
      <c r="F44" s="111"/>
      <c r="G44" s="111"/>
      <c r="H44" s="111"/>
      <c r="I44" s="111"/>
      <c r="J44" s="111"/>
      <c r="K44" s="31"/>
      <c r="L44" s="107"/>
      <c r="M44" s="107"/>
      <c r="N44" s="107"/>
    </row>
    <row r="45" spans="2:14" s="22" customFormat="1" ht="25.5" customHeight="1" x14ac:dyDescent="0.25">
      <c r="B45" s="108"/>
      <c r="C45" s="110"/>
      <c r="D45" s="111"/>
      <c r="E45" s="111"/>
      <c r="F45" s="111"/>
      <c r="G45" s="111"/>
      <c r="H45" s="111"/>
      <c r="I45" s="111"/>
      <c r="J45" s="111"/>
      <c r="K45" s="30"/>
      <c r="L45" s="106"/>
      <c r="M45" s="106"/>
      <c r="N45" s="106"/>
    </row>
    <row r="46" spans="2:14" s="22" customFormat="1" ht="162" customHeight="1" x14ac:dyDescent="0.25">
      <c r="B46" s="109"/>
      <c r="C46" s="110"/>
      <c r="D46" s="111"/>
      <c r="E46" s="111"/>
      <c r="F46" s="111"/>
      <c r="G46" s="111"/>
      <c r="H46" s="111"/>
      <c r="I46" s="111"/>
      <c r="J46" s="111"/>
      <c r="K46" s="31"/>
      <c r="L46" s="107"/>
      <c r="M46" s="107"/>
      <c r="N46" s="107"/>
    </row>
    <row r="47" spans="2:14" s="22" customFormat="1" ht="23.25" customHeight="1" x14ac:dyDescent="0.25">
      <c r="B47" s="108"/>
      <c r="C47" s="110"/>
      <c r="D47" s="111"/>
      <c r="E47" s="111"/>
      <c r="F47" s="111"/>
      <c r="G47" s="111"/>
      <c r="H47" s="111"/>
      <c r="I47" s="111"/>
      <c r="J47" s="111"/>
      <c r="K47" s="30"/>
      <c r="L47" s="106"/>
      <c r="M47" s="106"/>
      <c r="N47" s="106"/>
    </row>
    <row r="48" spans="2:14" s="22" customFormat="1" ht="162" customHeight="1" x14ac:dyDescent="0.25">
      <c r="B48" s="109"/>
      <c r="C48" s="110"/>
      <c r="D48" s="111"/>
      <c r="E48" s="111"/>
      <c r="F48" s="111"/>
      <c r="G48" s="111"/>
      <c r="H48" s="111"/>
      <c r="I48" s="111"/>
      <c r="J48" s="111"/>
      <c r="K48" s="31"/>
      <c r="L48" s="107"/>
      <c r="M48" s="107"/>
      <c r="N48" s="107"/>
    </row>
    <row r="49" spans="2:14" s="22" customFormat="1" ht="30.75" customHeight="1" x14ac:dyDescent="0.25">
      <c r="B49" s="108"/>
      <c r="C49" s="110"/>
      <c r="D49" s="111"/>
      <c r="E49" s="111"/>
      <c r="F49" s="111"/>
      <c r="G49" s="111"/>
      <c r="H49" s="111"/>
      <c r="I49" s="111"/>
      <c r="J49" s="111"/>
      <c r="K49" s="30"/>
      <c r="L49" s="106"/>
      <c r="M49" s="106"/>
      <c r="N49" s="106"/>
    </row>
    <row r="50" spans="2:14" s="22" customFormat="1" ht="162" customHeight="1" x14ac:dyDescent="0.25">
      <c r="B50" s="109"/>
      <c r="C50" s="110"/>
      <c r="D50" s="111"/>
      <c r="E50" s="111"/>
      <c r="F50" s="111"/>
      <c r="G50" s="111"/>
      <c r="H50" s="111"/>
      <c r="I50" s="111"/>
      <c r="J50" s="111"/>
      <c r="K50" s="31"/>
      <c r="L50" s="107"/>
      <c r="M50" s="107"/>
      <c r="N50" s="107"/>
    </row>
    <row r="51" spans="2:14" s="22" customFormat="1" ht="23.25" customHeight="1" x14ac:dyDescent="0.25">
      <c r="B51" s="108"/>
      <c r="C51" s="110"/>
      <c r="D51" s="111"/>
      <c r="E51" s="111"/>
      <c r="F51" s="111"/>
      <c r="G51" s="111"/>
      <c r="H51" s="111"/>
      <c r="I51" s="111"/>
      <c r="J51" s="111"/>
      <c r="K51" s="30"/>
      <c r="L51" s="106"/>
      <c r="M51" s="106"/>
      <c r="N51" s="106"/>
    </row>
    <row r="52" spans="2:14" s="22" customFormat="1" ht="162" customHeight="1" x14ac:dyDescent="0.25">
      <c r="B52" s="109"/>
      <c r="C52" s="110"/>
      <c r="D52" s="111"/>
      <c r="E52" s="111"/>
      <c r="F52" s="111"/>
      <c r="G52" s="111"/>
      <c r="H52" s="111"/>
      <c r="I52" s="111"/>
      <c r="J52" s="111"/>
      <c r="K52" s="31"/>
      <c r="L52" s="107"/>
      <c r="M52" s="107"/>
      <c r="N52" s="107"/>
    </row>
    <row r="53" spans="2:14" s="22" customFormat="1" ht="21.75" customHeight="1" x14ac:dyDescent="0.25">
      <c r="B53" s="108"/>
      <c r="C53" s="110"/>
      <c r="D53" s="111"/>
      <c r="E53" s="111"/>
      <c r="F53" s="111"/>
      <c r="G53" s="111"/>
      <c r="H53" s="111"/>
      <c r="I53" s="111"/>
      <c r="J53" s="111"/>
      <c r="K53" s="30"/>
      <c r="L53" s="106"/>
      <c r="M53" s="106"/>
      <c r="N53" s="106"/>
    </row>
    <row r="54" spans="2:14" s="22" customFormat="1" ht="162" customHeight="1" x14ac:dyDescent="0.25">
      <c r="B54" s="109"/>
      <c r="C54" s="110"/>
      <c r="D54" s="111"/>
      <c r="E54" s="111"/>
      <c r="F54" s="111"/>
      <c r="G54" s="111"/>
      <c r="H54" s="111"/>
      <c r="I54" s="111"/>
      <c r="J54" s="111"/>
      <c r="K54" s="31"/>
      <c r="L54" s="107"/>
      <c r="M54" s="107"/>
      <c r="N54" s="107"/>
    </row>
    <row r="55" spans="2:14" s="22" customFormat="1" ht="18.75" customHeight="1" x14ac:dyDescent="0.25"/>
  </sheetData>
  <sheetProtection algorithmName="SHA-512" hashValue="+MMsIfdPO8wj5TqXvvgkH8vQJHcNw/skD3Bz2u+3oHHNoqt78WNBkCI8+5n2gb4R5GBKrPHvTneyBA+YBBE4ow==" saltValue="fMd09FlYjfjpey46ie4xcA==" spinCount="100000" sheet="1" objects="1"/>
  <mergeCells count="188">
    <mergeCell ref="B6:D6"/>
    <mergeCell ref="E6:J6"/>
    <mergeCell ref="L6:N6"/>
    <mergeCell ref="B7:N7"/>
    <mergeCell ref="B8:N8"/>
    <mergeCell ref="B9:H9"/>
    <mergeCell ref="L9:N9"/>
    <mergeCell ref="B4:D4"/>
    <mergeCell ref="E4:G4"/>
    <mergeCell ref="I4:J4"/>
    <mergeCell ref="L4:N4"/>
    <mergeCell ref="B5:D5"/>
    <mergeCell ref="E5:G5"/>
    <mergeCell ref="I5:J5"/>
    <mergeCell ref="L5:N5"/>
    <mergeCell ref="B10:N10"/>
    <mergeCell ref="B11:N11"/>
    <mergeCell ref="D12:F12"/>
    <mergeCell ref="G12:H12"/>
    <mergeCell ref="L12:N12"/>
    <mergeCell ref="B13:B14"/>
    <mergeCell ref="C13:C14"/>
    <mergeCell ref="D13:F14"/>
    <mergeCell ref="G13:H14"/>
    <mergeCell ref="I13:I14"/>
    <mergeCell ref="J13:J14"/>
    <mergeCell ref="L13:N13"/>
    <mergeCell ref="L14:N14"/>
    <mergeCell ref="B15:B16"/>
    <mergeCell ref="C15:C16"/>
    <mergeCell ref="D15:F16"/>
    <mergeCell ref="G15:H16"/>
    <mergeCell ref="I15:I16"/>
    <mergeCell ref="J15:J16"/>
    <mergeCell ref="L15:N15"/>
    <mergeCell ref="L16:N16"/>
    <mergeCell ref="B17:B18"/>
    <mergeCell ref="C17:C18"/>
    <mergeCell ref="D17:F18"/>
    <mergeCell ref="G17:H18"/>
    <mergeCell ref="I17:I18"/>
    <mergeCell ref="J17:J18"/>
    <mergeCell ref="L17:N17"/>
    <mergeCell ref="L18:N18"/>
    <mergeCell ref="L19:N19"/>
    <mergeCell ref="L20:N20"/>
    <mergeCell ref="B21:B22"/>
    <mergeCell ref="C21:C22"/>
    <mergeCell ref="D21:F22"/>
    <mergeCell ref="G21:H22"/>
    <mergeCell ref="I21:I22"/>
    <mergeCell ref="J21:J22"/>
    <mergeCell ref="L21:N21"/>
    <mergeCell ref="L22:N22"/>
    <mergeCell ref="B19:B20"/>
    <mergeCell ref="C19:C20"/>
    <mergeCell ref="D19:F20"/>
    <mergeCell ref="G19:H20"/>
    <mergeCell ref="I19:I20"/>
    <mergeCell ref="J19:J20"/>
    <mergeCell ref="L23:N23"/>
    <mergeCell ref="L24:N24"/>
    <mergeCell ref="B25:B26"/>
    <mergeCell ref="C25:C26"/>
    <mergeCell ref="D25:F26"/>
    <mergeCell ref="G25:H26"/>
    <mergeCell ref="I25:I26"/>
    <mergeCell ref="J25:J26"/>
    <mergeCell ref="L25:N25"/>
    <mergeCell ref="L26:N26"/>
    <mergeCell ref="B23:B24"/>
    <mergeCell ref="C23:C24"/>
    <mergeCell ref="D23:F24"/>
    <mergeCell ref="G23:H24"/>
    <mergeCell ref="I23:I24"/>
    <mergeCell ref="J23:J24"/>
    <mergeCell ref="L27:N27"/>
    <mergeCell ref="L28:N28"/>
    <mergeCell ref="B29:B30"/>
    <mergeCell ref="C29:C30"/>
    <mergeCell ref="D29:F30"/>
    <mergeCell ref="G29:H30"/>
    <mergeCell ref="I29:I30"/>
    <mergeCell ref="J29:J30"/>
    <mergeCell ref="L29:N29"/>
    <mergeCell ref="L30:N30"/>
    <mergeCell ref="B27:B28"/>
    <mergeCell ref="C27:C28"/>
    <mergeCell ref="D27:F28"/>
    <mergeCell ref="G27:H28"/>
    <mergeCell ref="I27:I28"/>
    <mergeCell ref="J27:J28"/>
    <mergeCell ref="L31:N31"/>
    <mergeCell ref="L32:N32"/>
    <mergeCell ref="B33:B34"/>
    <mergeCell ref="C33:C34"/>
    <mergeCell ref="D33:F34"/>
    <mergeCell ref="G33:H34"/>
    <mergeCell ref="I33:I34"/>
    <mergeCell ref="J33:J34"/>
    <mergeCell ref="L33:N33"/>
    <mergeCell ref="L34:N34"/>
    <mergeCell ref="B31:B32"/>
    <mergeCell ref="C31:C32"/>
    <mergeCell ref="D31:F32"/>
    <mergeCell ref="G31:H32"/>
    <mergeCell ref="I31:I32"/>
    <mergeCell ref="J31:J32"/>
    <mergeCell ref="L35:N35"/>
    <mergeCell ref="L36:N36"/>
    <mergeCell ref="B37:B38"/>
    <mergeCell ref="C37:C38"/>
    <mergeCell ref="D37:F38"/>
    <mergeCell ref="G37:H38"/>
    <mergeCell ref="I37:I38"/>
    <mergeCell ref="J37:J38"/>
    <mergeCell ref="L37:N37"/>
    <mergeCell ref="L38:N38"/>
    <mergeCell ref="B35:B36"/>
    <mergeCell ref="C35:C36"/>
    <mergeCell ref="D35:F36"/>
    <mergeCell ref="G35:H36"/>
    <mergeCell ref="I35:I36"/>
    <mergeCell ref="J35:J36"/>
    <mergeCell ref="L39:N39"/>
    <mergeCell ref="L40:N40"/>
    <mergeCell ref="B41:B42"/>
    <mergeCell ref="C41:C42"/>
    <mergeCell ref="D41:F42"/>
    <mergeCell ref="G41:H42"/>
    <mergeCell ref="I41:I42"/>
    <mergeCell ref="J41:J42"/>
    <mergeCell ref="L41:N41"/>
    <mergeCell ref="L42:N42"/>
    <mergeCell ref="B39:B40"/>
    <mergeCell ref="C39:C40"/>
    <mergeCell ref="D39:F40"/>
    <mergeCell ref="G39:H40"/>
    <mergeCell ref="I39:I40"/>
    <mergeCell ref="J39:J40"/>
    <mergeCell ref="L43:N43"/>
    <mergeCell ref="L44:N44"/>
    <mergeCell ref="B45:B46"/>
    <mergeCell ref="C45:C46"/>
    <mergeCell ref="D45:F46"/>
    <mergeCell ref="G45:H46"/>
    <mergeCell ref="I45:I46"/>
    <mergeCell ref="J45:J46"/>
    <mergeCell ref="L45:N45"/>
    <mergeCell ref="L46:N46"/>
    <mergeCell ref="B43:B44"/>
    <mergeCell ref="C43:C44"/>
    <mergeCell ref="D43:F44"/>
    <mergeCell ref="G43:H44"/>
    <mergeCell ref="I43:I44"/>
    <mergeCell ref="J43:J44"/>
    <mergeCell ref="L47:N47"/>
    <mergeCell ref="L48:N48"/>
    <mergeCell ref="B49:B50"/>
    <mergeCell ref="C49:C50"/>
    <mergeCell ref="D49:F50"/>
    <mergeCell ref="G49:H50"/>
    <mergeCell ref="I49:I50"/>
    <mergeCell ref="J49:J50"/>
    <mergeCell ref="L49:N49"/>
    <mergeCell ref="L50:N50"/>
    <mergeCell ref="B47:B48"/>
    <mergeCell ref="C47:C48"/>
    <mergeCell ref="D47:F48"/>
    <mergeCell ref="G47:H48"/>
    <mergeCell ref="I47:I48"/>
    <mergeCell ref="J47:J48"/>
    <mergeCell ref="L51:N51"/>
    <mergeCell ref="L52:N52"/>
    <mergeCell ref="B53:B54"/>
    <mergeCell ref="C53:C54"/>
    <mergeCell ref="D53:F54"/>
    <mergeCell ref="G53:H54"/>
    <mergeCell ref="I53:I54"/>
    <mergeCell ref="J53:J54"/>
    <mergeCell ref="L53:N53"/>
    <mergeCell ref="L54:N54"/>
    <mergeCell ref="B51:B52"/>
    <mergeCell ref="C51:C52"/>
    <mergeCell ref="D51:F52"/>
    <mergeCell ref="G51:H52"/>
    <mergeCell ref="I51:I52"/>
    <mergeCell ref="J51:J52"/>
  </mergeCells>
  <printOptions horizontalCentered="1"/>
  <pageMargins left="0.27559055118110237" right="0.19685039370078741" top="0.27559055118110237" bottom="0.19685039370078741" header="0.31496062992125984" footer="0.31496062992125984"/>
  <pageSetup paperSize="9" orientation="landscape"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EA385BF0-D3C2-4B55-AF6D-7978BA870836}">
          <x14:formula1>
            <xm:f>Base!$A$2:$A$14</xm:f>
          </x14:formula1>
          <xm:sqref>K15 K53 K17 K19 K21 K23 K25 K27 K29 K31 K33 K35 K37 K39 K41 K43 K45 K47 K49 K51 K13</xm:sqref>
        </x14:dataValidation>
        <x14:dataValidation type="list" allowBlank="1" showInputMessage="1" showErrorMessage="1" xr:uid="{9744D9E7-D013-46F1-A87F-3286972D873D}">
          <x14:formula1>
            <xm:f>Base!$B$2:$B$10</xm:f>
          </x14:formula1>
          <xm:sqref>L15:N15 L53:N53 L17:N17 L19:N19 L21:N21 L23:N23 L25:N25 L27:N27 L29:N29 L31:N31 L33:N33 L35:N35 L37:N37 L39:N39 L41:N41 L43:N43 L45:N45 L47:N47 L49:N49 L51:N51 L13:N13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5AD19-21F4-42D3-BD60-E36712E2F9C9}">
  <sheetPr codeName="Planilha12">
    <tabColor theme="6"/>
  </sheetPr>
  <dimension ref="B1:W55"/>
  <sheetViews>
    <sheetView showGridLines="0" zoomScale="66" zoomScaleNormal="66" workbookViewId="0">
      <selection activeCell="D13" sqref="D13:F14"/>
    </sheetView>
  </sheetViews>
  <sheetFormatPr defaultColWidth="9.28515625" defaultRowHeight="18.75" customHeight="1" x14ac:dyDescent="0.25"/>
  <cols>
    <col min="1" max="1" width="1.85546875" style="4" customWidth="1"/>
    <col min="2" max="2" width="19" style="4" customWidth="1"/>
    <col min="3" max="3" width="14.42578125" style="4" customWidth="1"/>
    <col min="4" max="4" width="42.42578125" style="4" customWidth="1"/>
    <col min="5" max="5" width="27" style="4" customWidth="1"/>
    <col min="6" max="6" width="24.42578125" style="4" customWidth="1"/>
    <col min="7" max="7" width="27.140625" style="4" customWidth="1"/>
    <col min="8" max="8" width="44.140625" style="4" customWidth="1"/>
    <col min="9" max="9" width="56.7109375" style="4" customWidth="1"/>
    <col min="10" max="10" width="39.85546875" style="4" customWidth="1"/>
    <col min="11" max="11" width="54" style="4" customWidth="1"/>
    <col min="12" max="12" width="15.28515625" style="4" customWidth="1"/>
    <col min="13" max="13" width="9.7109375" style="4" customWidth="1"/>
    <col min="14" max="14" width="33.42578125" style="4" customWidth="1"/>
    <col min="15" max="15" width="2" style="4" customWidth="1"/>
    <col min="16" max="16384" width="9.28515625" style="4"/>
  </cols>
  <sheetData>
    <row r="1" spans="2:23" ht="8.25" customHeight="1" x14ac:dyDescent="0.25"/>
    <row r="2" spans="2:23" ht="96.6" customHeight="1" x14ac:dyDescent="0.25">
      <c r="B2" s="46" t="s">
        <v>83</v>
      </c>
      <c r="C2" s="42"/>
      <c r="D2" s="42"/>
      <c r="E2" s="42"/>
      <c r="F2" s="42"/>
      <c r="G2" s="42"/>
      <c r="H2" s="43"/>
      <c r="I2" s="43"/>
      <c r="J2" s="43"/>
      <c r="K2" s="43"/>
      <c r="L2" s="5"/>
      <c r="M2" s="5"/>
      <c r="N2" s="6"/>
    </row>
    <row r="3" spans="2:23" ht="7.5" customHeight="1" x14ac:dyDescent="0.25">
      <c r="B3" s="41"/>
      <c r="C3" s="19"/>
      <c r="D3" s="19"/>
      <c r="E3" s="19"/>
      <c r="F3" s="19"/>
      <c r="G3" s="19"/>
      <c r="H3" s="5"/>
      <c r="I3" s="5"/>
      <c r="J3" s="5"/>
      <c r="K3" s="5"/>
      <c r="L3" s="5"/>
      <c r="M3" s="5"/>
      <c r="N3" s="5"/>
    </row>
    <row r="4" spans="2:23" ht="37.9" customHeight="1" x14ac:dyDescent="0.25">
      <c r="B4" s="98" t="s">
        <v>62</v>
      </c>
      <c r="C4" s="98"/>
      <c r="D4" s="98"/>
      <c r="E4" s="157">
        <f>'Plano de Ensino'!C4</f>
        <v>0</v>
      </c>
      <c r="F4" s="157"/>
      <c r="G4" s="158"/>
      <c r="H4" s="9" t="s">
        <v>63</v>
      </c>
      <c r="I4" s="159">
        <f>'Plano de Ensino'!H4</f>
        <v>0</v>
      </c>
      <c r="J4" s="160"/>
      <c r="K4" s="9" t="s">
        <v>64</v>
      </c>
      <c r="L4" s="161">
        <f>'Plano de Ensino'!J4</f>
        <v>0</v>
      </c>
      <c r="M4" s="161"/>
      <c r="N4" s="162"/>
    </row>
    <row r="5" spans="2:23" ht="37.9" customHeight="1" x14ac:dyDescent="0.25">
      <c r="B5" s="90" t="s">
        <v>65</v>
      </c>
      <c r="C5" s="163"/>
      <c r="D5" s="91"/>
      <c r="E5" s="164">
        <f>'Plano de Ensino'!D5</f>
        <v>0</v>
      </c>
      <c r="F5" s="164"/>
      <c r="G5" s="165"/>
      <c r="H5" s="20" t="s">
        <v>66</v>
      </c>
      <c r="I5" s="166">
        <f>'Plano de Ensino'!H5</f>
        <v>0</v>
      </c>
      <c r="J5" s="167"/>
      <c r="K5" s="9" t="s">
        <v>67</v>
      </c>
      <c r="L5" s="161">
        <f>'Plano de Ensino'!J5</f>
        <v>0</v>
      </c>
      <c r="M5" s="161"/>
      <c r="N5" s="162"/>
      <c r="V5" s="15"/>
      <c r="W5" s="16"/>
    </row>
    <row r="6" spans="2:23" ht="37.9" customHeight="1" x14ac:dyDescent="0.25">
      <c r="B6" s="98" t="s">
        <v>84</v>
      </c>
      <c r="C6" s="98"/>
      <c r="D6" s="98"/>
      <c r="E6" s="154" t="s">
        <v>85</v>
      </c>
      <c r="F6" s="155"/>
      <c r="G6" s="155"/>
      <c r="H6" s="155"/>
      <c r="I6" s="155"/>
      <c r="J6" s="156"/>
      <c r="K6" s="9" t="s">
        <v>86</v>
      </c>
      <c r="L6" s="145">
        <f>SUM(C13:C54)</f>
        <v>0</v>
      </c>
      <c r="M6" s="145"/>
      <c r="N6" s="146"/>
    </row>
    <row r="7" spans="2:23" ht="8.25" customHeight="1" x14ac:dyDescent="0.25">
      <c r="B7" s="78"/>
      <c r="C7" s="78"/>
      <c r="D7" s="78"/>
      <c r="E7" s="78"/>
      <c r="F7" s="78"/>
      <c r="G7" s="78"/>
      <c r="H7" s="78"/>
      <c r="I7" s="78"/>
      <c r="J7" s="78"/>
      <c r="K7" s="78"/>
      <c r="L7" s="78"/>
      <c r="M7" s="78"/>
      <c r="N7" s="78"/>
    </row>
    <row r="8" spans="2:23" ht="37.9" customHeight="1" x14ac:dyDescent="0.25">
      <c r="B8" s="147" t="s">
        <v>83</v>
      </c>
      <c r="C8" s="148"/>
      <c r="D8" s="148"/>
      <c r="E8" s="148"/>
      <c r="F8" s="148"/>
      <c r="G8" s="148"/>
      <c r="H8" s="148"/>
      <c r="I8" s="148"/>
      <c r="J8" s="148"/>
      <c r="K8" s="148"/>
      <c r="L8" s="148"/>
      <c r="M8" s="148"/>
      <c r="N8" s="149"/>
    </row>
    <row r="9" spans="2:23" ht="36" customHeight="1" x14ac:dyDescent="0.25">
      <c r="B9" s="150" t="s">
        <v>87</v>
      </c>
      <c r="C9" s="151"/>
      <c r="D9" s="151"/>
      <c r="E9" s="151"/>
      <c r="F9" s="151"/>
      <c r="G9" s="151"/>
      <c r="H9" s="152"/>
      <c r="I9" s="11" t="s">
        <v>88</v>
      </c>
      <c r="J9" s="27"/>
      <c r="K9" s="11" t="s">
        <v>89</v>
      </c>
      <c r="L9" s="153"/>
      <c r="M9" s="85"/>
      <c r="N9" s="86"/>
    </row>
    <row r="10" spans="2:23" ht="121.5" customHeight="1" x14ac:dyDescent="0.25">
      <c r="B10" s="131"/>
      <c r="C10" s="132"/>
      <c r="D10" s="132"/>
      <c r="E10" s="132"/>
      <c r="F10" s="132"/>
      <c r="G10" s="132"/>
      <c r="H10" s="132"/>
      <c r="I10" s="132"/>
      <c r="J10" s="132"/>
      <c r="K10" s="132"/>
      <c r="L10" s="132"/>
      <c r="M10" s="132"/>
      <c r="N10" s="133"/>
    </row>
    <row r="11" spans="2:23" ht="37.5" customHeight="1" x14ac:dyDescent="0.25">
      <c r="B11" s="134" t="s">
        <v>90</v>
      </c>
      <c r="C11" s="135"/>
      <c r="D11" s="135"/>
      <c r="E11" s="135"/>
      <c r="F11" s="135"/>
      <c r="G11" s="135"/>
      <c r="H11" s="135"/>
      <c r="I11" s="135"/>
      <c r="J11" s="135"/>
      <c r="K11" s="135"/>
      <c r="L11" s="135"/>
      <c r="M11" s="135"/>
      <c r="N11" s="136"/>
    </row>
    <row r="12" spans="2:23" s="21" customFormat="1" ht="50.25" customHeight="1" x14ac:dyDescent="0.25">
      <c r="B12" s="44" t="s">
        <v>91</v>
      </c>
      <c r="C12" s="44" t="s">
        <v>92</v>
      </c>
      <c r="D12" s="137" t="s">
        <v>93</v>
      </c>
      <c r="E12" s="137"/>
      <c r="F12" s="137"/>
      <c r="G12" s="137" t="s">
        <v>79</v>
      </c>
      <c r="H12" s="137"/>
      <c r="I12" s="44" t="s">
        <v>94</v>
      </c>
      <c r="J12" s="44" t="s">
        <v>95</v>
      </c>
      <c r="K12" s="45" t="s">
        <v>96</v>
      </c>
      <c r="L12" s="138" t="s">
        <v>1</v>
      </c>
      <c r="M12" s="138"/>
      <c r="N12" s="138"/>
    </row>
    <row r="13" spans="2:23" s="22" customFormat="1" ht="24.6" customHeight="1" x14ac:dyDescent="0.25">
      <c r="B13" s="124"/>
      <c r="C13" s="110"/>
      <c r="D13" s="139"/>
      <c r="E13" s="140"/>
      <c r="F13" s="141"/>
      <c r="G13" s="111"/>
      <c r="H13" s="111"/>
      <c r="I13" s="111"/>
      <c r="J13" s="111"/>
      <c r="K13" s="30"/>
      <c r="L13" s="106"/>
      <c r="M13" s="106"/>
      <c r="N13" s="106"/>
    </row>
    <row r="14" spans="2:23" s="22" customFormat="1" ht="177.75" customHeight="1" x14ac:dyDescent="0.25">
      <c r="B14" s="124"/>
      <c r="C14" s="110"/>
      <c r="D14" s="142"/>
      <c r="E14" s="143"/>
      <c r="F14" s="144"/>
      <c r="G14" s="111"/>
      <c r="H14" s="111"/>
      <c r="I14" s="111"/>
      <c r="J14" s="111"/>
      <c r="K14" s="30"/>
      <c r="L14" s="106"/>
      <c r="M14" s="106"/>
      <c r="N14" s="106"/>
    </row>
    <row r="15" spans="2:23" s="22" customFormat="1" ht="29.25" customHeight="1" x14ac:dyDescent="0.25">
      <c r="B15" s="124"/>
      <c r="C15" s="110"/>
      <c r="D15" s="125"/>
      <c r="E15" s="126"/>
      <c r="F15" s="127"/>
      <c r="G15" s="111"/>
      <c r="H15" s="111"/>
      <c r="I15" s="111"/>
      <c r="J15" s="111"/>
      <c r="K15" s="30"/>
      <c r="L15" s="106"/>
      <c r="M15" s="106"/>
      <c r="N15" s="106"/>
    </row>
    <row r="16" spans="2:23" s="22" customFormat="1" ht="162" customHeight="1" x14ac:dyDescent="0.25">
      <c r="B16" s="124"/>
      <c r="C16" s="110"/>
      <c r="D16" s="128"/>
      <c r="E16" s="129"/>
      <c r="F16" s="130"/>
      <c r="G16" s="111"/>
      <c r="H16" s="111"/>
      <c r="I16" s="111"/>
      <c r="J16" s="111"/>
      <c r="K16" s="30"/>
      <c r="L16" s="106"/>
      <c r="M16" s="106"/>
      <c r="N16" s="106"/>
    </row>
    <row r="17" spans="2:14" s="22" customFormat="1" ht="27.75" customHeight="1" x14ac:dyDescent="0.25">
      <c r="B17" s="108"/>
      <c r="C17" s="110"/>
      <c r="D17" s="111"/>
      <c r="E17" s="111"/>
      <c r="F17" s="111"/>
      <c r="G17" s="111"/>
      <c r="H17" s="111"/>
      <c r="I17" s="111"/>
      <c r="J17" s="111"/>
      <c r="K17" s="30"/>
      <c r="L17" s="106"/>
      <c r="M17" s="106"/>
      <c r="N17" s="106"/>
    </row>
    <row r="18" spans="2:14" s="22" customFormat="1" ht="162" customHeight="1" x14ac:dyDescent="0.25">
      <c r="B18" s="109"/>
      <c r="C18" s="110"/>
      <c r="D18" s="111"/>
      <c r="E18" s="111"/>
      <c r="F18" s="111"/>
      <c r="G18" s="111"/>
      <c r="H18" s="111"/>
      <c r="I18" s="111"/>
      <c r="J18" s="111"/>
      <c r="K18" s="31"/>
      <c r="L18" s="107"/>
      <c r="M18" s="107"/>
      <c r="N18" s="107"/>
    </row>
    <row r="19" spans="2:14" s="22" customFormat="1" ht="28.5" customHeight="1" x14ac:dyDescent="0.25">
      <c r="B19" s="108"/>
      <c r="C19" s="110"/>
      <c r="D19" s="111"/>
      <c r="E19" s="111"/>
      <c r="F19" s="111"/>
      <c r="G19" s="111"/>
      <c r="H19" s="111"/>
      <c r="I19" s="111"/>
      <c r="J19" s="111"/>
      <c r="K19" s="30"/>
      <c r="L19" s="106"/>
      <c r="M19" s="106"/>
      <c r="N19" s="106"/>
    </row>
    <row r="20" spans="2:14" s="22" customFormat="1" ht="162" customHeight="1" x14ac:dyDescent="0.25">
      <c r="B20" s="109"/>
      <c r="C20" s="110"/>
      <c r="D20" s="111"/>
      <c r="E20" s="111"/>
      <c r="F20" s="111"/>
      <c r="G20" s="111"/>
      <c r="H20" s="111"/>
      <c r="I20" s="111"/>
      <c r="J20" s="111"/>
      <c r="K20" s="31"/>
      <c r="L20" s="107"/>
      <c r="M20" s="107"/>
      <c r="N20" s="107"/>
    </row>
    <row r="21" spans="2:14" s="22" customFormat="1" ht="25.5" customHeight="1" x14ac:dyDescent="0.25">
      <c r="B21" s="108"/>
      <c r="C21" s="114"/>
      <c r="D21" s="116"/>
      <c r="E21" s="117"/>
      <c r="F21" s="118"/>
      <c r="G21" s="116"/>
      <c r="H21" s="118"/>
      <c r="I21" s="122"/>
      <c r="J21" s="122"/>
      <c r="K21" s="30"/>
      <c r="L21" s="106"/>
      <c r="M21" s="106"/>
      <c r="N21" s="106"/>
    </row>
    <row r="22" spans="2:14" s="22" customFormat="1" ht="162" customHeight="1" x14ac:dyDescent="0.25">
      <c r="B22" s="109"/>
      <c r="C22" s="115"/>
      <c r="D22" s="119"/>
      <c r="E22" s="120"/>
      <c r="F22" s="121"/>
      <c r="G22" s="119"/>
      <c r="H22" s="121"/>
      <c r="I22" s="123"/>
      <c r="J22" s="123"/>
      <c r="K22" s="31"/>
      <c r="L22" s="107"/>
      <c r="M22" s="107"/>
      <c r="N22" s="107"/>
    </row>
    <row r="23" spans="2:14" s="22" customFormat="1" ht="27.75" customHeight="1" x14ac:dyDescent="0.25">
      <c r="B23" s="108"/>
      <c r="C23" s="114"/>
      <c r="D23" s="116"/>
      <c r="E23" s="117"/>
      <c r="F23" s="118"/>
      <c r="G23" s="116"/>
      <c r="H23" s="118"/>
      <c r="I23" s="122"/>
      <c r="J23" s="122"/>
      <c r="K23" s="30"/>
      <c r="L23" s="106"/>
      <c r="M23" s="106"/>
      <c r="N23" s="106"/>
    </row>
    <row r="24" spans="2:14" s="22" customFormat="1" ht="162" customHeight="1" x14ac:dyDescent="0.25">
      <c r="B24" s="109"/>
      <c r="C24" s="115"/>
      <c r="D24" s="119"/>
      <c r="E24" s="120"/>
      <c r="F24" s="121"/>
      <c r="G24" s="119"/>
      <c r="H24" s="121"/>
      <c r="I24" s="123"/>
      <c r="J24" s="123"/>
      <c r="K24" s="31"/>
      <c r="L24" s="107"/>
      <c r="M24" s="107"/>
      <c r="N24" s="107"/>
    </row>
    <row r="25" spans="2:14" s="22" customFormat="1" ht="26.25" customHeight="1" x14ac:dyDescent="0.25">
      <c r="B25" s="108"/>
      <c r="C25" s="110"/>
      <c r="D25" s="112"/>
      <c r="E25" s="112"/>
      <c r="F25" s="112"/>
      <c r="G25" s="112"/>
      <c r="H25" s="112"/>
      <c r="I25" s="112"/>
      <c r="J25" s="111"/>
      <c r="K25" s="30"/>
      <c r="L25" s="106"/>
      <c r="M25" s="106"/>
      <c r="N25" s="106"/>
    </row>
    <row r="26" spans="2:14" s="22" customFormat="1" ht="166.5" customHeight="1" x14ac:dyDescent="0.25">
      <c r="B26" s="109"/>
      <c r="C26" s="110"/>
      <c r="D26" s="112"/>
      <c r="E26" s="112"/>
      <c r="F26" s="112"/>
      <c r="G26" s="112"/>
      <c r="H26" s="112"/>
      <c r="I26" s="112"/>
      <c r="J26" s="111"/>
      <c r="K26" s="32"/>
      <c r="L26" s="113"/>
      <c r="M26" s="113"/>
      <c r="N26" s="113"/>
    </row>
    <row r="27" spans="2:14" s="22" customFormat="1" ht="26.25" customHeight="1" x14ac:dyDescent="0.25">
      <c r="B27" s="108"/>
      <c r="C27" s="110"/>
      <c r="D27" s="111"/>
      <c r="E27" s="111"/>
      <c r="F27" s="111"/>
      <c r="G27" s="111"/>
      <c r="H27" s="111"/>
      <c r="I27" s="111"/>
      <c r="J27" s="111"/>
      <c r="K27" s="30"/>
      <c r="L27" s="106"/>
      <c r="M27" s="106"/>
      <c r="N27" s="106"/>
    </row>
    <row r="28" spans="2:14" s="22" customFormat="1" ht="162" customHeight="1" x14ac:dyDescent="0.25">
      <c r="B28" s="109"/>
      <c r="C28" s="110"/>
      <c r="D28" s="111"/>
      <c r="E28" s="111"/>
      <c r="F28" s="111"/>
      <c r="G28" s="111"/>
      <c r="H28" s="111"/>
      <c r="I28" s="111"/>
      <c r="J28" s="111"/>
      <c r="K28" s="31"/>
      <c r="L28" s="107"/>
      <c r="M28" s="107"/>
      <c r="N28" s="107"/>
    </row>
    <row r="29" spans="2:14" s="22" customFormat="1" ht="24" customHeight="1" x14ac:dyDescent="0.25">
      <c r="B29" s="108"/>
      <c r="C29" s="110"/>
      <c r="D29" s="111"/>
      <c r="E29" s="111"/>
      <c r="F29" s="111"/>
      <c r="G29" s="111"/>
      <c r="H29" s="111"/>
      <c r="I29" s="111"/>
      <c r="J29" s="111"/>
      <c r="K29" s="30"/>
      <c r="L29" s="106"/>
      <c r="M29" s="106"/>
      <c r="N29" s="106"/>
    </row>
    <row r="30" spans="2:14" s="22" customFormat="1" ht="162" customHeight="1" x14ac:dyDescent="0.25">
      <c r="B30" s="109"/>
      <c r="C30" s="110"/>
      <c r="D30" s="111"/>
      <c r="E30" s="111"/>
      <c r="F30" s="111"/>
      <c r="G30" s="111"/>
      <c r="H30" s="111"/>
      <c r="I30" s="111"/>
      <c r="J30" s="111"/>
      <c r="K30" s="31"/>
      <c r="L30" s="107"/>
      <c r="M30" s="107"/>
      <c r="N30" s="107"/>
    </row>
    <row r="31" spans="2:14" s="22" customFormat="1" ht="23.25" customHeight="1" x14ac:dyDescent="0.25">
      <c r="B31" s="108"/>
      <c r="C31" s="110"/>
      <c r="D31" s="111"/>
      <c r="E31" s="111"/>
      <c r="F31" s="111"/>
      <c r="G31" s="111"/>
      <c r="H31" s="111"/>
      <c r="I31" s="111"/>
      <c r="J31" s="111"/>
      <c r="K31" s="30"/>
      <c r="L31" s="106"/>
      <c r="M31" s="106"/>
      <c r="N31" s="106"/>
    </row>
    <row r="32" spans="2:14" s="22" customFormat="1" ht="162" customHeight="1" x14ac:dyDescent="0.25">
      <c r="B32" s="109"/>
      <c r="C32" s="110"/>
      <c r="D32" s="111"/>
      <c r="E32" s="111"/>
      <c r="F32" s="111"/>
      <c r="G32" s="111"/>
      <c r="H32" s="111"/>
      <c r="I32" s="111"/>
      <c r="J32" s="111"/>
      <c r="K32" s="31"/>
      <c r="L32" s="107"/>
      <c r="M32" s="107"/>
      <c r="N32" s="107"/>
    </row>
    <row r="33" spans="2:14" s="22" customFormat="1" ht="25.5" customHeight="1" x14ac:dyDescent="0.25">
      <c r="B33" s="108"/>
      <c r="C33" s="110"/>
      <c r="D33" s="111"/>
      <c r="E33" s="111"/>
      <c r="F33" s="111"/>
      <c r="G33" s="111"/>
      <c r="H33" s="111"/>
      <c r="I33" s="111"/>
      <c r="J33" s="111"/>
      <c r="K33" s="30"/>
      <c r="L33" s="106"/>
      <c r="M33" s="106"/>
      <c r="N33" s="106"/>
    </row>
    <row r="34" spans="2:14" s="22" customFormat="1" ht="162" customHeight="1" x14ac:dyDescent="0.25">
      <c r="B34" s="109"/>
      <c r="C34" s="110"/>
      <c r="D34" s="111"/>
      <c r="E34" s="111"/>
      <c r="F34" s="111"/>
      <c r="G34" s="111"/>
      <c r="H34" s="111"/>
      <c r="I34" s="111"/>
      <c r="J34" s="111"/>
      <c r="K34" s="31"/>
      <c r="L34" s="107"/>
      <c r="M34" s="107"/>
      <c r="N34" s="107"/>
    </row>
    <row r="35" spans="2:14" s="22" customFormat="1" ht="30.75" customHeight="1" x14ac:dyDescent="0.25">
      <c r="B35" s="108"/>
      <c r="C35" s="110"/>
      <c r="D35" s="111"/>
      <c r="E35" s="111"/>
      <c r="F35" s="111"/>
      <c r="G35" s="111"/>
      <c r="H35" s="111"/>
      <c r="I35" s="111"/>
      <c r="J35" s="111"/>
      <c r="K35" s="30"/>
      <c r="L35" s="106"/>
      <c r="M35" s="106"/>
      <c r="N35" s="106"/>
    </row>
    <row r="36" spans="2:14" s="22" customFormat="1" ht="162" customHeight="1" x14ac:dyDescent="0.25">
      <c r="B36" s="109"/>
      <c r="C36" s="110"/>
      <c r="D36" s="111"/>
      <c r="E36" s="111"/>
      <c r="F36" s="111"/>
      <c r="G36" s="111"/>
      <c r="H36" s="111"/>
      <c r="I36" s="111"/>
      <c r="J36" s="111"/>
      <c r="K36" s="31"/>
      <c r="L36" s="107"/>
      <c r="M36" s="107"/>
      <c r="N36" s="107"/>
    </row>
    <row r="37" spans="2:14" s="22" customFormat="1" ht="23.25" customHeight="1" x14ac:dyDescent="0.25">
      <c r="B37" s="108"/>
      <c r="C37" s="110"/>
      <c r="D37" s="111"/>
      <c r="E37" s="111"/>
      <c r="F37" s="111"/>
      <c r="G37" s="111"/>
      <c r="H37" s="111"/>
      <c r="I37" s="111"/>
      <c r="J37" s="111"/>
      <c r="K37" s="30"/>
      <c r="L37" s="106"/>
      <c r="M37" s="106"/>
      <c r="N37" s="106"/>
    </row>
    <row r="38" spans="2:14" s="22" customFormat="1" ht="230.25" customHeight="1" x14ac:dyDescent="0.25">
      <c r="B38" s="109"/>
      <c r="C38" s="110"/>
      <c r="D38" s="111"/>
      <c r="E38" s="111"/>
      <c r="F38" s="111"/>
      <c r="G38" s="111"/>
      <c r="H38" s="111"/>
      <c r="I38" s="111"/>
      <c r="J38" s="111"/>
      <c r="K38" s="31"/>
      <c r="L38" s="107"/>
      <c r="M38" s="107"/>
      <c r="N38" s="107"/>
    </row>
    <row r="39" spans="2:14" s="22" customFormat="1" ht="24" customHeight="1" x14ac:dyDescent="0.25">
      <c r="B39" s="108"/>
      <c r="C39" s="110"/>
      <c r="D39" s="111"/>
      <c r="E39" s="111"/>
      <c r="F39" s="111"/>
      <c r="G39" s="111"/>
      <c r="H39" s="111"/>
      <c r="I39" s="111"/>
      <c r="J39" s="111"/>
      <c r="K39" s="30"/>
      <c r="L39" s="106"/>
      <c r="M39" s="106"/>
      <c r="N39" s="106"/>
    </row>
    <row r="40" spans="2:14" s="22" customFormat="1" ht="162" customHeight="1" x14ac:dyDescent="0.25">
      <c r="B40" s="109"/>
      <c r="C40" s="110"/>
      <c r="D40" s="111"/>
      <c r="E40" s="111"/>
      <c r="F40" s="111"/>
      <c r="G40" s="111"/>
      <c r="H40" s="111"/>
      <c r="I40" s="111"/>
      <c r="J40" s="111"/>
      <c r="K40" s="31"/>
      <c r="L40" s="107"/>
      <c r="M40" s="107"/>
      <c r="N40" s="107"/>
    </row>
    <row r="41" spans="2:14" s="22" customFormat="1" ht="24" customHeight="1" x14ac:dyDescent="0.25">
      <c r="B41" s="108"/>
      <c r="C41" s="110"/>
      <c r="D41" s="111"/>
      <c r="E41" s="111"/>
      <c r="F41" s="111"/>
      <c r="G41" s="111"/>
      <c r="H41" s="111"/>
      <c r="I41" s="111"/>
      <c r="J41" s="111"/>
      <c r="K41" s="30"/>
      <c r="L41" s="106"/>
      <c r="M41" s="106"/>
      <c r="N41" s="106"/>
    </row>
    <row r="42" spans="2:14" s="22" customFormat="1" ht="162" customHeight="1" x14ac:dyDescent="0.25">
      <c r="B42" s="109"/>
      <c r="C42" s="110"/>
      <c r="D42" s="111"/>
      <c r="E42" s="111"/>
      <c r="F42" s="111"/>
      <c r="G42" s="111"/>
      <c r="H42" s="111"/>
      <c r="I42" s="111"/>
      <c r="J42" s="111"/>
      <c r="K42" s="31"/>
      <c r="L42" s="107"/>
      <c r="M42" s="107"/>
      <c r="N42" s="107"/>
    </row>
    <row r="43" spans="2:14" s="22" customFormat="1" ht="27.75" customHeight="1" x14ac:dyDescent="0.25">
      <c r="B43" s="108"/>
      <c r="C43" s="110"/>
      <c r="D43" s="111"/>
      <c r="E43" s="111"/>
      <c r="F43" s="111"/>
      <c r="G43" s="111"/>
      <c r="H43" s="111"/>
      <c r="I43" s="111"/>
      <c r="J43" s="111"/>
      <c r="K43" s="30"/>
      <c r="L43" s="106"/>
      <c r="M43" s="106"/>
      <c r="N43" s="106"/>
    </row>
    <row r="44" spans="2:14" s="22" customFormat="1" ht="162" customHeight="1" x14ac:dyDescent="0.25">
      <c r="B44" s="109"/>
      <c r="C44" s="110"/>
      <c r="D44" s="111"/>
      <c r="E44" s="111"/>
      <c r="F44" s="111"/>
      <c r="G44" s="111"/>
      <c r="H44" s="111"/>
      <c r="I44" s="111"/>
      <c r="J44" s="111"/>
      <c r="K44" s="31"/>
      <c r="L44" s="107"/>
      <c r="M44" s="107"/>
      <c r="N44" s="107"/>
    </row>
    <row r="45" spans="2:14" s="22" customFormat="1" ht="25.5" customHeight="1" x14ac:dyDescent="0.25">
      <c r="B45" s="108"/>
      <c r="C45" s="110"/>
      <c r="D45" s="111"/>
      <c r="E45" s="111"/>
      <c r="F45" s="111"/>
      <c r="G45" s="111"/>
      <c r="H45" s="111"/>
      <c r="I45" s="111"/>
      <c r="J45" s="111"/>
      <c r="K45" s="30"/>
      <c r="L45" s="106"/>
      <c r="M45" s="106"/>
      <c r="N45" s="106"/>
    </row>
    <row r="46" spans="2:14" s="22" customFormat="1" ht="162" customHeight="1" x14ac:dyDescent="0.25">
      <c r="B46" s="109"/>
      <c r="C46" s="110"/>
      <c r="D46" s="111"/>
      <c r="E46" s="111"/>
      <c r="F46" s="111"/>
      <c r="G46" s="111"/>
      <c r="H46" s="111"/>
      <c r="I46" s="111"/>
      <c r="J46" s="111"/>
      <c r="K46" s="31"/>
      <c r="L46" s="107"/>
      <c r="M46" s="107"/>
      <c r="N46" s="107"/>
    </row>
    <row r="47" spans="2:14" s="22" customFormat="1" ht="23.25" customHeight="1" x14ac:dyDescent="0.25">
      <c r="B47" s="108"/>
      <c r="C47" s="110"/>
      <c r="D47" s="111"/>
      <c r="E47" s="111"/>
      <c r="F47" s="111"/>
      <c r="G47" s="111"/>
      <c r="H47" s="111"/>
      <c r="I47" s="111"/>
      <c r="J47" s="111"/>
      <c r="K47" s="30"/>
      <c r="L47" s="106"/>
      <c r="M47" s="106"/>
      <c r="N47" s="106"/>
    </row>
    <row r="48" spans="2:14" s="22" customFormat="1" ht="162" customHeight="1" x14ac:dyDescent="0.25">
      <c r="B48" s="109"/>
      <c r="C48" s="110"/>
      <c r="D48" s="111"/>
      <c r="E48" s="111"/>
      <c r="F48" s="111"/>
      <c r="G48" s="111"/>
      <c r="H48" s="111"/>
      <c r="I48" s="111"/>
      <c r="J48" s="111"/>
      <c r="K48" s="31"/>
      <c r="L48" s="107"/>
      <c r="M48" s="107"/>
      <c r="N48" s="107"/>
    </row>
    <row r="49" spans="2:14" s="22" customFormat="1" ht="30.75" customHeight="1" x14ac:dyDescent="0.25">
      <c r="B49" s="108"/>
      <c r="C49" s="110"/>
      <c r="D49" s="111"/>
      <c r="E49" s="111"/>
      <c r="F49" s="111"/>
      <c r="G49" s="111"/>
      <c r="H49" s="111"/>
      <c r="I49" s="111"/>
      <c r="J49" s="111"/>
      <c r="K49" s="30"/>
      <c r="L49" s="106"/>
      <c r="M49" s="106"/>
      <c r="N49" s="106"/>
    </row>
    <row r="50" spans="2:14" s="22" customFormat="1" ht="162" customHeight="1" x14ac:dyDescent="0.25">
      <c r="B50" s="109"/>
      <c r="C50" s="110"/>
      <c r="D50" s="111"/>
      <c r="E50" s="111"/>
      <c r="F50" s="111"/>
      <c r="G50" s="111"/>
      <c r="H50" s="111"/>
      <c r="I50" s="111"/>
      <c r="J50" s="111"/>
      <c r="K50" s="31"/>
      <c r="L50" s="107"/>
      <c r="M50" s="107"/>
      <c r="N50" s="107"/>
    </row>
    <row r="51" spans="2:14" s="22" customFormat="1" ht="23.25" customHeight="1" x14ac:dyDescent="0.25">
      <c r="B51" s="108"/>
      <c r="C51" s="110"/>
      <c r="D51" s="111"/>
      <c r="E51" s="111"/>
      <c r="F51" s="111"/>
      <c r="G51" s="111"/>
      <c r="H51" s="111"/>
      <c r="I51" s="111"/>
      <c r="J51" s="111"/>
      <c r="K51" s="30"/>
      <c r="L51" s="106"/>
      <c r="M51" s="106"/>
      <c r="N51" s="106"/>
    </row>
    <row r="52" spans="2:14" s="22" customFormat="1" ht="162" customHeight="1" x14ac:dyDescent="0.25">
      <c r="B52" s="109"/>
      <c r="C52" s="110"/>
      <c r="D52" s="111"/>
      <c r="E52" s="111"/>
      <c r="F52" s="111"/>
      <c r="G52" s="111"/>
      <c r="H52" s="111"/>
      <c r="I52" s="111"/>
      <c r="J52" s="111"/>
      <c r="K52" s="31"/>
      <c r="L52" s="107"/>
      <c r="M52" s="107"/>
      <c r="N52" s="107"/>
    </row>
    <row r="53" spans="2:14" s="22" customFormat="1" ht="21.75" customHeight="1" x14ac:dyDescent="0.25">
      <c r="B53" s="108"/>
      <c r="C53" s="110"/>
      <c r="D53" s="111"/>
      <c r="E53" s="111"/>
      <c r="F53" s="111"/>
      <c r="G53" s="111"/>
      <c r="H53" s="111"/>
      <c r="I53" s="111"/>
      <c r="J53" s="111"/>
      <c r="K53" s="30"/>
      <c r="L53" s="106"/>
      <c r="M53" s="106"/>
      <c r="N53" s="106"/>
    </row>
    <row r="54" spans="2:14" s="22" customFormat="1" ht="162" customHeight="1" x14ac:dyDescent="0.25">
      <c r="B54" s="109"/>
      <c r="C54" s="110"/>
      <c r="D54" s="111"/>
      <c r="E54" s="111"/>
      <c r="F54" s="111"/>
      <c r="G54" s="111"/>
      <c r="H54" s="111"/>
      <c r="I54" s="111"/>
      <c r="J54" s="111"/>
      <c r="K54" s="31"/>
      <c r="L54" s="107"/>
      <c r="M54" s="107"/>
      <c r="N54" s="107"/>
    </row>
    <row r="55" spans="2:14" s="22" customFormat="1" ht="18.75" customHeight="1" x14ac:dyDescent="0.25"/>
  </sheetData>
  <sheetProtection algorithmName="SHA-512" hashValue="+MMsIfdPO8wj5TqXvvgkH8vQJHcNw/skD3Bz2u+3oHHNoqt78WNBkCI8+5n2gb4R5GBKrPHvTneyBA+YBBE4ow==" saltValue="fMd09FlYjfjpey46ie4xcA==" spinCount="100000" sheet="1" objects="1"/>
  <mergeCells count="188">
    <mergeCell ref="B6:D6"/>
    <mergeCell ref="E6:J6"/>
    <mergeCell ref="L6:N6"/>
    <mergeCell ref="B7:N7"/>
    <mergeCell ref="B8:N8"/>
    <mergeCell ref="B9:H9"/>
    <mergeCell ref="L9:N9"/>
    <mergeCell ref="B4:D4"/>
    <mergeCell ref="E4:G4"/>
    <mergeCell ref="I4:J4"/>
    <mergeCell ref="L4:N4"/>
    <mergeCell ref="B5:D5"/>
    <mergeCell ref="E5:G5"/>
    <mergeCell ref="I5:J5"/>
    <mergeCell ref="L5:N5"/>
    <mergeCell ref="B10:N10"/>
    <mergeCell ref="B11:N11"/>
    <mergeCell ref="D12:F12"/>
    <mergeCell ref="G12:H12"/>
    <mergeCell ref="L12:N12"/>
    <mergeCell ref="B13:B14"/>
    <mergeCell ref="C13:C14"/>
    <mergeCell ref="D13:F14"/>
    <mergeCell ref="G13:H14"/>
    <mergeCell ref="I13:I14"/>
    <mergeCell ref="J13:J14"/>
    <mergeCell ref="L13:N13"/>
    <mergeCell ref="L14:N14"/>
    <mergeCell ref="B15:B16"/>
    <mergeCell ref="C15:C16"/>
    <mergeCell ref="D15:F16"/>
    <mergeCell ref="G15:H16"/>
    <mergeCell ref="I15:I16"/>
    <mergeCell ref="J15:J16"/>
    <mergeCell ref="L15:N15"/>
    <mergeCell ref="L16:N16"/>
    <mergeCell ref="B17:B18"/>
    <mergeCell ref="C17:C18"/>
    <mergeCell ref="D17:F18"/>
    <mergeCell ref="G17:H18"/>
    <mergeCell ref="I17:I18"/>
    <mergeCell ref="J17:J18"/>
    <mergeCell ref="L17:N17"/>
    <mergeCell ref="L18:N18"/>
    <mergeCell ref="L19:N19"/>
    <mergeCell ref="L20:N20"/>
    <mergeCell ref="B21:B22"/>
    <mergeCell ref="C21:C22"/>
    <mergeCell ref="D21:F22"/>
    <mergeCell ref="G21:H22"/>
    <mergeCell ref="I21:I22"/>
    <mergeCell ref="J21:J22"/>
    <mergeCell ref="L21:N21"/>
    <mergeCell ref="L22:N22"/>
    <mergeCell ref="B19:B20"/>
    <mergeCell ref="C19:C20"/>
    <mergeCell ref="D19:F20"/>
    <mergeCell ref="G19:H20"/>
    <mergeCell ref="I19:I20"/>
    <mergeCell ref="J19:J20"/>
    <mergeCell ref="L23:N23"/>
    <mergeCell ref="L24:N24"/>
    <mergeCell ref="B25:B26"/>
    <mergeCell ref="C25:C26"/>
    <mergeCell ref="D25:F26"/>
    <mergeCell ref="G25:H26"/>
    <mergeCell ref="I25:I26"/>
    <mergeCell ref="J25:J26"/>
    <mergeCell ref="L25:N25"/>
    <mergeCell ref="L26:N26"/>
    <mergeCell ref="B23:B24"/>
    <mergeCell ref="C23:C24"/>
    <mergeCell ref="D23:F24"/>
    <mergeCell ref="G23:H24"/>
    <mergeCell ref="I23:I24"/>
    <mergeCell ref="J23:J24"/>
    <mergeCell ref="L27:N27"/>
    <mergeCell ref="L28:N28"/>
    <mergeCell ref="B29:B30"/>
    <mergeCell ref="C29:C30"/>
    <mergeCell ref="D29:F30"/>
    <mergeCell ref="G29:H30"/>
    <mergeCell ref="I29:I30"/>
    <mergeCell ref="J29:J30"/>
    <mergeCell ref="L29:N29"/>
    <mergeCell ref="L30:N30"/>
    <mergeCell ref="B27:B28"/>
    <mergeCell ref="C27:C28"/>
    <mergeCell ref="D27:F28"/>
    <mergeCell ref="G27:H28"/>
    <mergeCell ref="I27:I28"/>
    <mergeCell ref="J27:J28"/>
    <mergeCell ref="L31:N31"/>
    <mergeCell ref="L32:N32"/>
    <mergeCell ref="B33:B34"/>
    <mergeCell ref="C33:C34"/>
    <mergeCell ref="D33:F34"/>
    <mergeCell ref="G33:H34"/>
    <mergeCell ref="I33:I34"/>
    <mergeCell ref="J33:J34"/>
    <mergeCell ref="L33:N33"/>
    <mergeCell ref="L34:N34"/>
    <mergeCell ref="B31:B32"/>
    <mergeCell ref="C31:C32"/>
    <mergeCell ref="D31:F32"/>
    <mergeCell ref="G31:H32"/>
    <mergeCell ref="I31:I32"/>
    <mergeCell ref="J31:J32"/>
    <mergeCell ref="L35:N35"/>
    <mergeCell ref="L36:N36"/>
    <mergeCell ref="B37:B38"/>
    <mergeCell ref="C37:C38"/>
    <mergeCell ref="D37:F38"/>
    <mergeCell ref="G37:H38"/>
    <mergeCell ref="I37:I38"/>
    <mergeCell ref="J37:J38"/>
    <mergeCell ref="L37:N37"/>
    <mergeCell ref="L38:N38"/>
    <mergeCell ref="B35:B36"/>
    <mergeCell ref="C35:C36"/>
    <mergeCell ref="D35:F36"/>
    <mergeCell ref="G35:H36"/>
    <mergeCell ref="I35:I36"/>
    <mergeCell ref="J35:J36"/>
    <mergeCell ref="L39:N39"/>
    <mergeCell ref="L40:N40"/>
    <mergeCell ref="B41:B42"/>
    <mergeCell ref="C41:C42"/>
    <mergeCell ref="D41:F42"/>
    <mergeCell ref="G41:H42"/>
    <mergeCell ref="I41:I42"/>
    <mergeCell ref="J41:J42"/>
    <mergeCell ref="L41:N41"/>
    <mergeCell ref="L42:N42"/>
    <mergeCell ref="B39:B40"/>
    <mergeCell ref="C39:C40"/>
    <mergeCell ref="D39:F40"/>
    <mergeCell ref="G39:H40"/>
    <mergeCell ref="I39:I40"/>
    <mergeCell ref="J39:J40"/>
    <mergeCell ref="L43:N43"/>
    <mergeCell ref="L44:N44"/>
    <mergeCell ref="B45:B46"/>
    <mergeCell ref="C45:C46"/>
    <mergeCell ref="D45:F46"/>
    <mergeCell ref="G45:H46"/>
    <mergeCell ref="I45:I46"/>
    <mergeCell ref="J45:J46"/>
    <mergeCell ref="L45:N45"/>
    <mergeCell ref="L46:N46"/>
    <mergeCell ref="B43:B44"/>
    <mergeCell ref="C43:C44"/>
    <mergeCell ref="D43:F44"/>
    <mergeCell ref="G43:H44"/>
    <mergeCell ref="I43:I44"/>
    <mergeCell ref="J43:J44"/>
    <mergeCell ref="L47:N47"/>
    <mergeCell ref="L48:N48"/>
    <mergeCell ref="B49:B50"/>
    <mergeCell ref="C49:C50"/>
    <mergeCell ref="D49:F50"/>
    <mergeCell ref="G49:H50"/>
    <mergeCell ref="I49:I50"/>
    <mergeCell ref="J49:J50"/>
    <mergeCell ref="L49:N49"/>
    <mergeCell ref="L50:N50"/>
    <mergeCell ref="B47:B48"/>
    <mergeCell ref="C47:C48"/>
    <mergeCell ref="D47:F48"/>
    <mergeCell ref="G47:H48"/>
    <mergeCell ref="I47:I48"/>
    <mergeCell ref="J47:J48"/>
    <mergeCell ref="L51:N51"/>
    <mergeCell ref="L52:N52"/>
    <mergeCell ref="B53:B54"/>
    <mergeCell ref="C53:C54"/>
    <mergeCell ref="D53:F54"/>
    <mergeCell ref="G53:H54"/>
    <mergeCell ref="I53:I54"/>
    <mergeCell ref="J53:J54"/>
    <mergeCell ref="L53:N53"/>
    <mergeCell ref="L54:N54"/>
    <mergeCell ref="B51:B52"/>
    <mergeCell ref="C51:C52"/>
    <mergeCell ref="D51:F52"/>
    <mergeCell ref="G51:H52"/>
    <mergeCell ref="I51:I52"/>
    <mergeCell ref="J51:J52"/>
  </mergeCells>
  <printOptions horizontalCentered="1"/>
  <pageMargins left="0.27559055118110237" right="0.19685039370078741" top="0.27559055118110237" bottom="0.19685039370078741" header="0.31496062992125984" footer="0.31496062992125984"/>
  <pageSetup paperSize="9" orientation="landscape"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32A083AF-41BB-44CA-8D9D-FDACA4BD2AA7}">
          <x14:formula1>
            <xm:f>Base!$B$2:$B$10</xm:f>
          </x14:formula1>
          <xm:sqref>L15:N15 L53:N53 L17:N17 L19:N19 L21:N21 L23:N23 L25:N25 L27:N27 L29:N29 L31:N31 L33:N33 L35:N35 L37:N37 L39:N39 L41:N41 L43:N43 L45:N45 L47:N47 L49:N49 L51:N51 L13:N13</xm:sqref>
        </x14:dataValidation>
        <x14:dataValidation type="list" allowBlank="1" showInputMessage="1" showErrorMessage="1" xr:uid="{BCCB56BD-D59A-4129-8A05-560211CD0687}">
          <x14:formula1>
            <xm:f>Base!$A$2:$A$14</xm:f>
          </x14:formula1>
          <xm:sqref>K15 K53 K17 K19 K21 K23 K25 K27 K29 K31 K33 K35 K37 K39 K41 K43 K45 K47 K49 K51 K13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0FFDE-794C-4292-A9C3-A2F41B8089FC}">
  <sheetPr codeName="Planilha13">
    <tabColor theme="6"/>
  </sheetPr>
  <dimension ref="B1:W55"/>
  <sheetViews>
    <sheetView showGridLines="0" zoomScale="66" zoomScaleNormal="66" workbookViewId="0">
      <selection activeCell="G13" sqref="G13:H14"/>
    </sheetView>
  </sheetViews>
  <sheetFormatPr defaultColWidth="9.28515625" defaultRowHeight="18.75" customHeight="1" x14ac:dyDescent="0.25"/>
  <cols>
    <col min="1" max="1" width="1.85546875" style="4" customWidth="1"/>
    <col min="2" max="2" width="19" style="4" customWidth="1"/>
    <col min="3" max="3" width="14.42578125" style="4" customWidth="1"/>
    <col min="4" max="4" width="42.42578125" style="4" customWidth="1"/>
    <col min="5" max="5" width="27" style="4" customWidth="1"/>
    <col min="6" max="6" width="24.42578125" style="4" customWidth="1"/>
    <col min="7" max="7" width="27.140625" style="4" customWidth="1"/>
    <col min="8" max="8" width="44.140625" style="4" customWidth="1"/>
    <col min="9" max="9" width="56.7109375" style="4" customWidth="1"/>
    <col min="10" max="10" width="39.85546875" style="4" customWidth="1"/>
    <col min="11" max="11" width="54" style="4" customWidth="1"/>
    <col min="12" max="12" width="15.28515625" style="4" customWidth="1"/>
    <col min="13" max="13" width="9.7109375" style="4" customWidth="1"/>
    <col min="14" max="14" width="33.42578125" style="4" customWidth="1"/>
    <col min="15" max="15" width="2" style="4" customWidth="1"/>
    <col min="16" max="16384" width="9.28515625" style="4"/>
  </cols>
  <sheetData>
    <row r="1" spans="2:23" ht="8.25" customHeight="1" x14ac:dyDescent="0.25"/>
    <row r="2" spans="2:23" ht="96.6" customHeight="1" x14ac:dyDescent="0.25">
      <c r="B2" s="46" t="s">
        <v>83</v>
      </c>
      <c r="C2" s="42"/>
      <c r="D2" s="42"/>
      <c r="E2" s="42"/>
      <c r="F2" s="42"/>
      <c r="G2" s="42"/>
      <c r="H2" s="43"/>
      <c r="I2" s="43"/>
      <c r="J2" s="43"/>
      <c r="K2" s="43"/>
      <c r="L2" s="5"/>
      <c r="M2" s="5"/>
      <c r="N2" s="6"/>
    </row>
    <row r="3" spans="2:23" ht="7.5" customHeight="1" x14ac:dyDescent="0.25">
      <c r="B3" s="41"/>
      <c r="C3" s="19"/>
      <c r="D3" s="19"/>
      <c r="E3" s="19"/>
      <c r="F3" s="19"/>
      <c r="G3" s="19"/>
      <c r="H3" s="5"/>
      <c r="I3" s="5"/>
      <c r="J3" s="5"/>
      <c r="K3" s="5"/>
      <c r="L3" s="5"/>
      <c r="M3" s="5"/>
      <c r="N3" s="5"/>
    </row>
    <row r="4" spans="2:23" ht="37.9" customHeight="1" x14ac:dyDescent="0.25">
      <c r="B4" s="98" t="s">
        <v>62</v>
      </c>
      <c r="C4" s="98"/>
      <c r="D4" s="98"/>
      <c r="E4" s="157">
        <f>'Plano de Ensino'!C4</f>
        <v>0</v>
      </c>
      <c r="F4" s="157"/>
      <c r="G4" s="158"/>
      <c r="H4" s="9" t="s">
        <v>63</v>
      </c>
      <c r="I4" s="159">
        <f>'Plano de Ensino'!H4</f>
        <v>0</v>
      </c>
      <c r="J4" s="160"/>
      <c r="K4" s="9" t="s">
        <v>64</v>
      </c>
      <c r="L4" s="161">
        <f>'Plano de Ensino'!J4</f>
        <v>0</v>
      </c>
      <c r="M4" s="161"/>
      <c r="N4" s="162"/>
    </row>
    <row r="5" spans="2:23" ht="37.9" customHeight="1" x14ac:dyDescent="0.25">
      <c r="B5" s="90" t="s">
        <v>65</v>
      </c>
      <c r="C5" s="163"/>
      <c r="D5" s="91"/>
      <c r="E5" s="164">
        <f>'Plano de Ensino'!D5</f>
        <v>0</v>
      </c>
      <c r="F5" s="164"/>
      <c r="G5" s="165"/>
      <c r="H5" s="20" t="s">
        <v>66</v>
      </c>
      <c r="I5" s="166">
        <f>'Plano de Ensino'!H5</f>
        <v>0</v>
      </c>
      <c r="J5" s="167"/>
      <c r="K5" s="9" t="s">
        <v>67</v>
      </c>
      <c r="L5" s="161">
        <f>'Plano de Ensino'!J5</f>
        <v>0</v>
      </c>
      <c r="M5" s="161"/>
      <c r="N5" s="162"/>
      <c r="V5" s="15"/>
      <c r="W5" s="16"/>
    </row>
    <row r="6" spans="2:23" ht="37.9" customHeight="1" x14ac:dyDescent="0.25">
      <c r="B6" s="98" t="s">
        <v>84</v>
      </c>
      <c r="C6" s="98"/>
      <c r="D6" s="98"/>
      <c r="E6" s="154" t="s">
        <v>85</v>
      </c>
      <c r="F6" s="155"/>
      <c r="G6" s="155"/>
      <c r="H6" s="155"/>
      <c r="I6" s="155"/>
      <c r="J6" s="156"/>
      <c r="K6" s="9" t="s">
        <v>86</v>
      </c>
      <c r="L6" s="145">
        <f>SUM(C13:C54)</f>
        <v>0</v>
      </c>
      <c r="M6" s="145"/>
      <c r="N6" s="146"/>
    </row>
    <row r="7" spans="2:23" ht="8.25" customHeight="1" x14ac:dyDescent="0.25">
      <c r="B7" s="78"/>
      <c r="C7" s="78"/>
      <c r="D7" s="78"/>
      <c r="E7" s="78"/>
      <c r="F7" s="78"/>
      <c r="G7" s="78"/>
      <c r="H7" s="78"/>
      <c r="I7" s="78"/>
      <c r="J7" s="78"/>
      <c r="K7" s="78"/>
      <c r="L7" s="78"/>
      <c r="M7" s="78"/>
      <c r="N7" s="78"/>
    </row>
    <row r="8" spans="2:23" ht="37.9" customHeight="1" x14ac:dyDescent="0.25">
      <c r="B8" s="147" t="s">
        <v>83</v>
      </c>
      <c r="C8" s="148"/>
      <c r="D8" s="148"/>
      <c r="E8" s="148"/>
      <c r="F8" s="148"/>
      <c r="G8" s="148"/>
      <c r="H8" s="148"/>
      <c r="I8" s="148"/>
      <c r="J8" s="148"/>
      <c r="K8" s="148"/>
      <c r="L8" s="148"/>
      <c r="M8" s="148"/>
      <c r="N8" s="149"/>
    </row>
    <row r="9" spans="2:23" ht="36" customHeight="1" x14ac:dyDescent="0.25">
      <c r="B9" s="150" t="s">
        <v>87</v>
      </c>
      <c r="C9" s="151"/>
      <c r="D9" s="151"/>
      <c r="E9" s="151"/>
      <c r="F9" s="151"/>
      <c r="G9" s="151"/>
      <c r="H9" s="152"/>
      <c r="I9" s="11" t="s">
        <v>88</v>
      </c>
      <c r="J9" s="27"/>
      <c r="K9" s="11" t="s">
        <v>89</v>
      </c>
      <c r="L9" s="153"/>
      <c r="M9" s="85"/>
      <c r="N9" s="86"/>
    </row>
    <row r="10" spans="2:23" ht="121.5" customHeight="1" x14ac:dyDescent="0.25">
      <c r="B10" s="131"/>
      <c r="C10" s="132"/>
      <c r="D10" s="132"/>
      <c r="E10" s="132"/>
      <c r="F10" s="132"/>
      <c r="G10" s="132"/>
      <c r="H10" s="132"/>
      <c r="I10" s="132"/>
      <c r="J10" s="132"/>
      <c r="K10" s="132"/>
      <c r="L10" s="132"/>
      <c r="M10" s="132"/>
      <c r="N10" s="133"/>
    </row>
    <row r="11" spans="2:23" ht="37.5" customHeight="1" x14ac:dyDescent="0.25">
      <c r="B11" s="134" t="s">
        <v>90</v>
      </c>
      <c r="C11" s="135"/>
      <c r="D11" s="135"/>
      <c r="E11" s="135"/>
      <c r="F11" s="135"/>
      <c r="G11" s="135"/>
      <c r="H11" s="135"/>
      <c r="I11" s="135"/>
      <c r="J11" s="135"/>
      <c r="K11" s="135"/>
      <c r="L11" s="135"/>
      <c r="M11" s="135"/>
      <c r="N11" s="136"/>
    </row>
    <row r="12" spans="2:23" s="21" customFormat="1" ht="50.25" customHeight="1" x14ac:dyDescent="0.25">
      <c r="B12" s="44" t="s">
        <v>91</v>
      </c>
      <c r="C12" s="44" t="s">
        <v>92</v>
      </c>
      <c r="D12" s="137" t="s">
        <v>93</v>
      </c>
      <c r="E12" s="137"/>
      <c r="F12" s="137"/>
      <c r="G12" s="137" t="s">
        <v>79</v>
      </c>
      <c r="H12" s="137"/>
      <c r="I12" s="44" t="s">
        <v>94</v>
      </c>
      <c r="J12" s="44" t="s">
        <v>95</v>
      </c>
      <c r="K12" s="45" t="s">
        <v>96</v>
      </c>
      <c r="L12" s="138" t="s">
        <v>1</v>
      </c>
      <c r="M12" s="138"/>
      <c r="N12" s="138"/>
    </row>
    <row r="13" spans="2:23" s="22" customFormat="1" ht="24.6" customHeight="1" x14ac:dyDescent="0.25">
      <c r="B13" s="124"/>
      <c r="C13" s="110"/>
      <c r="D13" s="139"/>
      <c r="E13" s="140"/>
      <c r="F13" s="141"/>
      <c r="G13" s="111"/>
      <c r="H13" s="111"/>
      <c r="I13" s="111"/>
      <c r="J13" s="111"/>
      <c r="K13" s="30"/>
      <c r="L13" s="106"/>
      <c r="M13" s="106"/>
      <c r="N13" s="106"/>
    </row>
    <row r="14" spans="2:23" s="22" customFormat="1" ht="177.75" customHeight="1" x14ac:dyDescent="0.25">
      <c r="B14" s="124"/>
      <c r="C14" s="110"/>
      <c r="D14" s="142"/>
      <c r="E14" s="143"/>
      <c r="F14" s="144"/>
      <c r="G14" s="111"/>
      <c r="H14" s="111"/>
      <c r="I14" s="111"/>
      <c r="J14" s="111"/>
      <c r="K14" s="30"/>
      <c r="L14" s="106"/>
      <c r="M14" s="106"/>
      <c r="N14" s="106"/>
    </row>
    <row r="15" spans="2:23" s="22" customFormat="1" ht="29.25" customHeight="1" x14ac:dyDescent="0.25">
      <c r="B15" s="124"/>
      <c r="C15" s="110"/>
      <c r="D15" s="125"/>
      <c r="E15" s="126"/>
      <c r="F15" s="127"/>
      <c r="G15" s="111"/>
      <c r="H15" s="111"/>
      <c r="I15" s="111"/>
      <c r="J15" s="111"/>
      <c r="K15" s="30"/>
      <c r="L15" s="106"/>
      <c r="M15" s="106"/>
      <c r="N15" s="106"/>
    </row>
    <row r="16" spans="2:23" s="22" customFormat="1" ht="162" customHeight="1" x14ac:dyDescent="0.25">
      <c r="B16" s="124"/>
      <c r="C16" s="110"/>
      <c r="D16" s="128"/>
      <c r="E16" s="129"/>
      <c r="F16" s="130"/>
      <c r="G16" s="111"/>
      <c r="H16" s="111"/>
      <c r="I16" s="111"/>
      <c r="J16" s="111"/>
      <c r="K16" s="30"/>
      <c r="L16" s="106"/>
      <c r="M16" s="106"/>
      <c r="N16" s="106"/>
    </row>
    <row r="17" spans="2:14" s="22" customFormat="1" ht="27.75" customHeight="1" x14ac:dyDescent="0.25">
      <c r="B17" s="108"/>
      <c r="C17" s="110"/>
      <c r="D17" s="111"/>
      <c r="E17" s="111"/>
      <c r="F17" s="111"/>
      <c r="G17" s="111"/>
      <c r="H17" s="111"/>
      <c r="I17" s="111"/>
      <c r="J17" s="111"/>
      <c r="K17" s="30"/>
      <c r="L17" s="106"/>
      <c r="M17" s="106"/>
      <c r="N17" s="106"/>
    </row>
    <row r="18" spans="2:14" s="22" customFormat="1" ht="162" customHeight="1" x14ac:dyDescent="0.25">
      <c r="B18" s="109"/>
      <c r="C18" s="110"/>
      <c r="D18" s="111"/>
      <c r="E18" s="111"/>
      <c r="F18" s="111"/>
      <c r="G18" s="111"/>
      <c r="H18" s="111"/>
      <c r="I18" s="111"/>
      <c r="J18" s="111"/>
      <c r="K18" s="31"/>
      <c r="L18" s="107"/>
      <c r="M18" s="107"/>
      <c r="N18" s="107"/>
    </row>
    <row r="19" spans="2:14" s="22" customFormat="1" ht="28.5" customHeight="1" x14ac:dyDescent="0.25">
      <c r="B19" s="108"/>
      <c r="C19" s="110"/>
      <c r="D19" s="111"/>
      <c r="E19" s="111"/>
      <c r="F19" s="111"/>
      <c r="G19" s="111"/>
      <c r="H19" s="111"/>
      <c r="I19" s="111"/>
      <c r="J19" s="111"/>
      <c r="K19" s="30"/>
      <c r="L19" s="106"/>
      <c r="M19" s="106"/>
      <c r="N19" s="106"/>
    </row>
    <row r="20" spans="2:14" s="22" customFormat="1" ht="162" customHeight="1" x14ac:dyDescent="0.25">
      <c r="B20" s="109"/>
      <c r="C20" s="110"/>
      <c r="D20" s="111"/>
      <c r="E20" s="111"/>
      <c r="F20" s="111"/>
      <c r="G20" s="111"/>
      <c r="H20" s="111"/>
      <c r="I20" s="111"/>
      <c r="J20" s="111"/>
      <c r="K20" s="31"/>
      <c r="L20" s="107"/>
      <c r="M20" s="107"/>
      <c r="N20" s="107"/>
    </row>
    <row r="21" spans="2:14" s="22" customFormat="1" ht="25.5" customHeight="1" x14ac:dyDescent="0.25">
      <c r="B21" s="108"/>
      <c r="C21" s="114"/>
      <c r="D21" s="116"/>
      <c r="E21" s="117"/>
      <c r="F21" s="118"/>
      <c r="G21" s="116"/>
      <c r="H21" s="118"/>
      <c r="I21" s="122"/>
      <c r="J21" s="122"/>
      <c r="K21" s="30"/>
      <c r="L21" s="106"/>
      <c r="M21" s="106"/>
      <c r="N21" s="106"/>
    </row>
    <row r="22" spans="2:14" s="22" customFormat="1" ht="162" customHeight="1" x14ac:dyDescent="0.25">
      <c r="B22" s="109"/>
      <c r="C22" s="115"/>
      <c r="D22" s="119"/>
      <c r="E22" s="120"/>
      <c r="F22" s="121"/>
      <c r="G22" s="119"/>
      <c r="H22" s="121"/>
      <c r="I22" s="123"/>
      <c r="J22" s="123"/>
      <c r="K22" s="31"/>
      <c r="L22" s="107"/>
      <c r="M22" s="107"/>
      <c r="N22" s="107"/>
    </row>
    <row r="23" spans="2:14" s="22" customFormat="1" ht="27.75" customHeight="1" x14ac:dyDescent="0.25">
      <c r="B23" s="108"/>
      <c r="C23" s="114"/>
      <c r="D23" s="116"/>
      <c r="E23" s="117"/>
      <c r="F23" s="118"/>
      <c r="G23" s="116"/>
      <c r="H23" s="118"/>
      <c r="I23" s="122"/>
      <c r="J23" s="122"/>
      <c r="K23" s="30"/>
      <c r="L23" s="106"/>
      <c r="M23" s="106"/>
      <c r="N23" s="106"/>
    </row>
    <row r="24" spans="2:14" s="22" customFormat="1" ht="162" customHeight="1" x14ac:dyDescent="0.25">
      <c r="B24" s="109"/>
      <c r="C24" s="115"/>
      <c r="D24" s="119"/>
      <c r="E24" s="120"/>
      <c r="F24" s="121"/>
      <c r="G24" s="119"/>
      <c r="H24" s="121"/>
      <c r="I24" s="123"/>
      <c r="J24" s="123"/>
      <c r="K24" s="31"/>
      <c r="L24" s="107"/>
      <c r="M24" s="107"/>
      <c r="N24" s="107"/>
    </row>
    <row r="25" spans="2:14" s="22" customFormat="1" ht="26.25" customHeight="1" x14ac:dyDescent="0.25">
      <c r="B25" s="108"/>
      <c r="C25" s="110"/>
      <c r="D25" s="112"/>
      <c r="E25" s="112"/>
      <c r="F25" s="112"/>
      <c r="G25" s="112"/>
      <c r="H25" s="112"/>
      <c r="I25" s="112"/>
      <c r="J25" s="111"/>
      <c r="K25" s="30"/>
      <c r="L25" s="106"/>
      <c r="M25" s="106"/>
      <c r="N25" s="106"/>
    </row>
    <row r="26" spans="2:14" s="22" customFormat="1" ht="166.5" customHeight="1" x14ac:dyDescent="0.25">
      <c r="B26" s="109"/>
      <c r="C26" s="110"/>
      <c r="D26" s="112"/>
      <c r="E26" s="112"/>
      <c r="F26" s="112"/>
      <c r="G26" s="112"/>
      <c r="H26" s="112"/>
      <c r="I26" s="112"/>
      <c r="J26" s="111"/>
      <c r="K26" s="32"/>
      <c r="L26" s="113"/>
      <c r="M26" s="113"/>
      <c r="N26" s="113"/>
    </row>
    <row r="27" spans="2:14" s="22" customFormat="1" ht="26.25" customHeight="1" x14ac:dyDescent="0.25">
      <c r="B27" s="108"/>
      <c r="C27" s="110"/>
      <c r="D27" s="111"/>
      <c r="E27" s="111"/>
      <c r="F27" s="111"/>
      <c r="G27" s="111"/>
      <c r="H27" s="111"/>
      <c r="I27" s="111"/>
      <c r="J27" s="111"/>
      <c r="K27" s="30"/>
      <c r="L27" s="106"/>
      <c r="M27" s="106"/>
      <c r="N27" s="106"/>
    </row>
    <row r="28" spans="2:14" s="22" customFormat="1" ht="162" customHeight="1" x14ac:dyDescent="0.25">
      <c r="B28" s="109"/>
      <c r="C28" s="110"/>
      <c r="D28" s="111"/>
      <c r="E28" s="111"/>
      <c r="F28" s="111"/>
      <c r="G28" s="111"/>
      <c r="H28" s="111"/>
      <c r="I28" s="111"/>
      <c r="J28" s="111"/>
      <c r="K28" s="31"/>
      <c r="L28" s="107"/>
      <c r="M28" s="107"/>
      <c r="N28" s="107"/>
    </row>
    <row r="29" spans="2:14" s="22" customFormat="1" ht="24" customHeight="1" x14ac:dyDescent="0.25">
      <c r="B29" s="108"/>
      <c r="C29" s="110"/>
      <c r="D29" s="111"/>
      <c r="E29" s="111"/>
      <c r="F29" s="111"/>
      <c r="G29" s="111"/>
      <c r="H29" s="111"/>
      <c r="I29" s="111"/>
      <c r="J29" s="111"/>
      <c r="K29" s="30"/>
      <c r="L29" s="106"/>
      <c r="M29" s="106"/>
      <c r="N29" s="106"/>
    </row>
    <row r="30" spans="2:14" s="22" customFormat="1" ht="162" customHeight="1" x14ac:dyDescent="0.25">
      <c r="B30" s="109"/>
      <c r="C30" s="110"/>
      <c r="D30" s="111"/>
      <c r="E30" s="111"/>
      <c r="F30" s="111"/>
      <c r="G30" s="111"/>
      <c r="H30" s="111"/>
      <c r="I30" s="111"/>
      <c r="J30" s="111"/>
      <c r="K30" s="31"/>
      <c r="L30" s="107"/>
      <c r="M30" s="107"/>
      <c r="N30" s="107"/>
    </row>
    <row r="31" spans="2:14" s="22" customFormat="1" ht="23.25" customHeight="1" x14ac:dyDescent="0.25">
      <c r="B31" s="108"/>
      <c r="C31" s="110"/>
      <c r="D31" s="111"/>
      <c r="E31" s="111"/>
      <c r="F31" s="111"/>
      <c r="G31" s="111"/>
      <c r="H31" s="111"/>
      <c r="I31" s="111"/>
      <c r="J31" s="111"/>
      <c r="K31" s="30"/>
      <c r="L31" s="106"/>
      <c r="M31" s="106"/>
      <c r="N31" s="106"/>
    </row>
    <row r="32" spans="2:14" s="22" customFormat="1" ht="162" customHeight="1" x14ac:dyDescent="0.25">
      <c r="B32" s="109"/>
      <c r="C32" s="110"/>
      <c r="D32" s="111"/>
      <c r="E32" s="111"/>
      <c r="F32" s="111"/>
      <c r="G32" s="111"/>
      <c r="H32" s="111"/>
      <c r="I32" s="111"/>
      <c r="J32" s="111"/>
      <c r="K32" s="31"/>
      <c r="L32" s="107"/>
      <c r="M32" s="107"/>
      <c r="N32" s="107"/>
    </row>
    <row r="33" spans="2:14" s="22" customFormat="1" ht="25.5" customHeight="1" x14ac:dyDescent="0.25">
      <c r="B33" s="108"/>
      <c r="C33" s="110"/>
      <c r="D33" s="111"/>
      <c r="E33" s="111"/>
      <c r="F33" s="111"/>
      <c r="G33" s="111"/>
      <c r="H33" s="111"/>
      <c r="I33" s="111"/>
      <c r="J33" s="111"/>
      <c r="K33" s="30"/>
      <c r="L33" s="106"/>
      <c r="M33" s="106"/>
      <c r="N33" s="106"/>
    </row>
    <row r="34" spans="2:14" s="22" customFormat="1" ht="162" customHeight="1" x14ac:dyDescent="0.25">
      <c r="B34" s="109"/>
      <c r="C34" s="110"/>
      <c r="D34" s="111"/>
      <c r="E34" s="111"/>
      <c r="F34" s="111"/>
      <c r="G34" s="111"/>
      <c r="H34" s="111"/>
      <c r="I34" s="111"/>
      <c r="J34" s="111"/>
      <c r="K34" s="31"/>
      <c r="L34" s="107"/>
      <c r="M34" s="107"/>
      <c r="N34" s="107"/>
    </row>
    <row r="35" spans="2:14" s="22" customFormat="1" ht="30.75" customHeight="1" x14ac:dyDescent="0.25">
      <c r="B35" s="108"/>
      <c r="C35" s="110"/>
      <c r="D35" s="111"/>
      <c r="E35" s="111"/>
      <c r="F35" s="111"/>
      <c r="G35" s="111"/>
      <c r="H35" s="111"/>
      <c r="I35" s="111"/>
      <c r="J35" s="111"/>
      <c r="K35" s="30"/>
      <c r="L35" s="106"/>
      <c r="M35" s="106"/>
      <c r="N35" s="106"/>
    </row>
    <row r="36" spans="2:14" s="22" customFormat="1" ht="162" customHeight="1" x14ac:dyDescent="0.25">
      <c r="B36" s="109"/>
      <c r="C36" s="110"/>
      <c r="D36" s="111"/>
      <c r="E36" s="111"/>
      <c r="F36" s="111"/>
      <c r="G36" s="111"/>
      <c r="H36" s="111"/>
      <c r="I36" s="111"/>
      <c r="J36" s="111"/>
      <c r="K36" s="31"/>
      <c r="L36" s="107"/>
      <c r="M36" s="107"/>
      <c r="N36" s="107"/>
    </row>
    <row r="37" spans="2:14" s="22" customFormat="1" ht="23.25" customHeight="1" x14ac:dyDescent="0.25">
      <c r="B37" s="108"/>
      <c r="C37" s="110"/>
      <c r="D37" s="111"/>
      <c r="E37" s="111"/>
      <c r="F37" s="111"/>
      <c r="G37" s="111"/>
      <c r="H37" s="111"/>
      <c r="I37" s="111"/>
      <c r="J37" s="111"/>
      <c r="K37" s="30"/>
      <c r="L37" s="106"/>
      <c r="M37" s="106"/>
      <c r="N37" s="106"/>
    </row>
    <row r="38" spans="2:14" s="22" customFormat="1" ht="230.25" customHeight="1" x14ac:dyDescent="0.25">
      <c r="B38" s="109"/>
      <c r="C38" s="110"/>
      <c r="D38" s="111"/>
      <c r="E38" s="111"/>
      <c r="F38" s="111"/>
      <c r="G38" s="111"/>
      <c r="H38" s="111"/>
      <c r="I38" s="111"/>
      <c r="J38" s="111"/>
      <c r="K38" s="31"/>
      <c r="L38" s="107"/>
      <c r="M38" s="107"/>
      <c r="N38" s="107"/>
    </row>
    <row r="39" spans="2:14" s="22" customFormat="1" ht="24" customHeight="1" x14ac:dyDescent="0.25">
      <c r="B39" s="108"/>
      <c r="C39" s="110"/>
      <c r="D39" s="111"/>
      <c r="E39" s="111"/>
      <c r="F39" s="111"/>
      <c r="G39" s="111"/>
      <c r="H39" s="111"/>
      <c r="I39" s="111"/>
      <c r="J39" s="111"/>
      <c r="K39" s="30"/>
      <c r="L39" s="106"/>
      <c r="M39" s="106"/>
      <c r="N39" s="106"/>
    </row>
    <row r="40" spans="2:14" s="22" customFormat="1" ht="162" customHeight="1" x14ac:dyDescent="0.25">
      <c r="B40" s="109"/>
      <c r="C40" s="110"/>
      <c r="D40" s="111"/>
      <c r="E40" s="111"/>
      <c r="F40" s="111"/>
      <c r="G40" s="111"/>
      <c r="H40" s="111"/>
      <c r="I40" s="111"/>
      <c r="J40" s="111"/>
      <c r="K40" s="31"/>
      <c r="L40" s="107"/>
      <c r="M40" s="107"/>
      <c r="N40" s="107"/>
    </row>
    <row r="41" spans="2:14" s="22" customFormat="1" ht="24" customHeight="1" x14ac:dyDescent="0.25">
      <c r="B41" s="108"/>
      <c r="C41" s="110"/>
      <c r="D41" s="111"/>
      <c r="E41" s="111"/>
      <c r="F41" s="111"/>
      <c r="G41" s="111"/>
      <c r="H41" s="111"/>
      <c r="I41" s="111"/>
      <c r="J41" s="111"/>
      <c r="K41" s="30"/>
      <c r="L41" s="106"/>
      <c r="M41" s="106"/>
      <c r="N41" s="106"/>
    </row>
    <row r="42" spans="2:14" s="22" customFormat="1" ht="162" customHeight="1" x14ac:dyDescent="0.25">
      <c r="B42" s="109"/>
      <c r="C42" s="110"/>
      <c r="D42" s="111"/>
      <c r="E42" s="111"/>
      <c r="F42" s="111"/>
      <c r="G42" s="111"/>
      <c r="H42" s="111"/>
      <c r="I42" s="111"/>
      <c r="J42" s="111"/>
      <c r="K42" s="31"/>
      <c r="L42" s="107"/>
      <c r="M42" s="107"/>
      <c r="N42" s="107"/>
    </row>
    <row r="43" spans="2:14" s="22" customFormat="1" ht="27.75" customHeight="1" x14ac:dyDescent="0.25">
      <c r="B43" s="108"/>
      <c r="C43" s="110"/>
      <c r="D43" s="111"/>
      <c r="E43" s="111"/>
      <c r="F43" s="111"/>
      <c r="G43" s="111"/>
      <c r="H43" s="111"/>
      <c r="I43" s="111"/>
      <c r="J43" s="111"/>
      <c r="K43" s="30"/>
      <c r="L43" s="106"/>
      <c r="M43" s="106"/>
      <c r="N43" s="106"/>
    </row>
    <row r="44" spans="2:14" s="22" customFormat="1" ht="162" customHeight="1" x14ac:dyDescent="0.25">
      <c r="B44" s="109"/>
      <c r="C44" s="110"/>
      <c r="D44" s="111"/>
      <c r="E44" s="111"/>
      <c r="F44" s="111"/>
      <c r="G44" s="111"/>
      <c r="H44" s="111"/>
      <c r="I44" s="111"/>
      <c r="J44" s="111"/>
      <c r="K44" s="31"/>
      <c r="L44" s="107"/>
      <c r="M44" s="107"/>
      <c r="N44" s="107"/>
    </row>
    <row r="45" spans="2:14" s="22" customFormat="1" ht="25.5" customHeight="1" x14ac:dyDescent="0.25">
      <c r="B45" s="108"/>
      <c r="C45" s="110"/>
      <c r="D45" s="111"/>
      <c r="E45" s="111"/>
      <c r="F45" s="111"/>
      <c r="G45" s="111"/>
      <c r="H45" s="111"/>
      <c r="I45" s="111"/>
      <c r="J45" s="111"/>
      <c r="K45" s="30"/>
      <c r="L45" s="106"/>
      <c r="M45" s="106"/>
      <c r="N45" s="106"/>
    </row>
    <row r="46" spans="2:14" s="22" customFormat="1" ht="162" customHeight="1" x14ac:dyDescent="0.25">
      <c r="B46" s="109"/>
      <c r="C46" s="110"/>
      <c r="D46" s="111"/>
      <c r="E46" s="111"/>
      <c r="F46" s="111"/>
      <c r="G46" s="111"/>
      <c r="H46" s="111"/>
      <c r="I46" s="111"/>
      <c r="J46" s="111"/>
      <c r="K46" s="31"/>
      <c r="L46" s="107"/>
      <c r="M46" s="107"/>
      <c r="N46" s="107"/>
    </row>
    <row r="47" spans="2:14" s="22" customFormat="1" ht="23.25" customHeight="1" x14ac:dyDescent="0.25">
      <c r="B47" s="108"/>
      <c r="C47" s="110"/>
      <c r="D47" s="111"/>
      <c r="E47" s="111"/>
      <c r="F47" s="111"/>
      <c r="G47" s="111"/>
      <c r="H47" s="111"/>
      <c r="I47" s="111"/>
      <c r="J47" s="111"/>
      <c r="K47" s="30"/>
      <c r="L47" s="106"/>
      <c r="M47" s="106"/>
      <c r="N47" s="106"/>
    </row>
    <row r="48" spans="2:14" s="22" customFormat="1" ht="162" customHeight="1" x14ac:dyDescent="0.25">
      <c r="B48" s="109"/>
      <c r="C48" s="110"/>
      <c r="D48" s="111"/>
      <c r="E48" s="111"/>
      <c r="F48" s="111"/>
      <c r="G48" s="111"/>
      <c r="H48" s="111"/>
      <c r="I48" s="111"/>
      <c r="J48" s="111"/>
      <c r="K48" s="31"/>
      <c r="L48" s="107"/>
      <c r="M48" s="107"/>
      <c r="N48" s="107"/>
    </row>
    <row r="49" spans="2:14" s="22" customFormat="1" ht="30.75" customHeight="1" x14ac:dyDescent="0.25">
      <c r="B49" s="108"/>
      <c r="C49" s="110"/>
      <c r="D49" s="111"/>
      <c r="E49" s="111"/>
      <c r="F49" s="111"/>
      <c r="G49" s="111"/>
      <c r="H49" s="111"/>
      <c r="I49" s="111"/>
      <c r="J49" s="111"/>
      <c r="K49" s="30"/>
      <c r="L49" s="106"/>
      <c r="M49" s="106"/>
      <c r="N49" s="106"/>
    </row>
    <row r="50" spans="2:14" s="22" customFormat="1" ht="162" customHeight="1" x14ac:dyDescent="0.25">
      <c r="B50" s="109"/>
      <c r="C50" s="110"/>
      <c r="D50" s="111"/>
      <c r="E50" s="111"/>
      <c r="F50" s="111"/>
      <c r="G50" s="111"/>
      <c r="H50" s="111"/>
      <c r="I50" s="111"/>
      <c r="J50" s="111"/>
      <c r="K50" s="31"/>
      <c r="L50" s="107"/>
      <c r="M50" s="107"/>
      <c r="N50" s="107"/>
    </row>
    <row r="51" spans="2:14" s="22" customFormat="1" ht="23.25" customHeight="1" x14ac:dyDescent="0.25">
      <c r="B51" s="108"/>
      <c r="C51" s="110"/>
      <c r="D51" s="111"/>
      <c r="E51" s="111"/>
      <c r="F51" s="111"/>
      <c r="G51" s="111"/>
      <c r="H51" s="111"/>
      <c r="I51" s="111"/>
      <c r="J51" s="111"/>
      <c r="K51" s="30"/>
      <c r="L51" s="106"/>
      <c r="M51" s="106"/>
      <c r="N51" s="106"/>
    </row>
    <row r="52" spans="2:14" s="22" customFormat="1" ht="162" customHeight="1" x14ac:dyDescent="0.25">
      <c r="B52" s="109"/>
      <c r="C52" s="110"/>
      <c r="D52" s="111"/>
      <c r="E52" s="111"/>
      <c r="F52" s="111"/>
      <c r="G52" s="111"/>
      <c r="H52" s="111"/>
      <c r="I52" s="111"/>
      <c r="J52" s="111"/>
      <c r="K52" s="31"/>
      <c r="L52" s="107"/>
      <c r="M52" s="107"/>
      <c r="N52" s="107"/>
    </row>
    <row r="53" spans="2:14" s="22" customFormat="1" ht="21.75" customHeight="1" x14ac:dyDescent="0.25">
      <c r="B53" s="108"/>
      <c r="C53" s="110"/>
      <c r="D53" s="111"/>
      <c r="E53" s="111"/>
      <c r="F53" s="111"/>
      <c r="G53" s="111"/>
      <c r="H53" s="111"/>
      <c r="I53" s="111"/>
      <c r="J53" s="111"/>
      <c r="K53" s="30"/>
      <c r="L53" s="106"/>
      <c r="M53" s="106"/>
      <c r="N53" s="106"/>
    </row>
    <row r="54" spans="2:14" s="22" customFormat="1" ht="162" customHeight="1" x14ac:dyDescent="0.25">
      <c r="B54" s="109"/>
      <c r="C54" s="110"/>
      <c r="D54" s="111"/>
      <c r="E54" s="111"/>
      <c r="F54" s="111"/>
      <c r="G54" s="111"/>
      <c r="H54" s="111"/>
      <c r="I54" s="111"/>
      <c r="J54" s="111"/>
      <c r="K54" s="31"/>
      <c r="L54" s="107"/>
      <c r="M54" s="107"/>
      <c r="N54" s="107"/>
    </row>
    <row r="55" spans="2:14" s="22" customFormat="1" ht="18.75" customHeight="1" x14ac:dyDescent="0.25"/>
  </sheetData>
  <sheetProtection algorithmName="SHA-512" hashValue="+MMsIfdPO8wj5TqXvvgkH8vQJHcNw/skD3Bz2u+3oHHNoqt78WNBkCI8+5n2gb4R5GBKrPHvTneyBA+YBBE4ow==" saltValue="fMd09FlYjfjpey46ie4xcA==" spinCount="100000" sheet="1" objects="1"/>
  <mergeCells count="188">
    <mergeCell ref="B6:D6"/>
    <mergeCell ref="E6:J6"/>
    <mergeCell ref="L6:N6"/>
    <mergeCell ref="B7:N7"/>
    <mergeCell ref="B8:N8"/>
    <mergeCell ref="B9:H9"/>
    <mergeCell ref="L9:N9"/>
    <mergeCell ref="B4:D4"/>
    <mergeCell ref="E4:G4"/>
    <mergeCell ref="I4:J4"/>
    <mergeCell ref="L4:N4"/>
    <mergeCell ref="B5:D5"/>
    <mergeCell ref="E5:G5"/>
    <mergeCell ref="I5:J5"/>
    <mergeCell ref="L5:N5"/>
    <mergeCell ref="B10:N10"/>
    <mergeCell ref="B11:N11"/>
    <mergeCell ref="D12:F12"/>
    <mergeCell ref="G12:H12"/>
    <mergeCell ref="L12:N12"/>
    <mergeCell ref="B13:B14"/>
    <mergeCell ref="C13:C14"/>
    <mergeCell ref="D13:F14"/>
    <mergeCell ref="G13:H14"/>
    <mergeCell ref="I13:I14"/>
    <mergeCell ref="J13:J14"/>
    <mergeCell ref="L13:N13"/>
    <mergeCell ref="L14:N14"/>
    <mergeCell ref="B15:B16"/>
    <mergeCell ref="C15:C16"/>
    <mergeCell ref="D15:F16"/>
    <mergeCell ref="G15:H16"/>
    <mergeCell ref="I15:I16"/>
    <mergeCell ref="J15:J16"/>
    <mergeCell ref="L15:N15"/>
    <mergeCell ref="L16:N16"/>
    <mergeCell ref="B17:B18"/>
    <mergeCell ref="C17:C18"/>
    <mergeCell ref="D17:F18"/>
    <mergeCell ref="G17:H18"/>
    <mergeCell ref="I17:I18"/>
    <mergeCell ref="J17:J18"/>
    <mergeCell ref="L17:N17"/>
    <mergeCell ref="L18:N18"/>
    <mergeCell ref="L19:N19"/>
    <mergeCell ref="L20:N20"/>
    <mergeCell ref="B21:B22"/>
    <mergeCell ref="C21:C22"/>
    <mergeCell ref="D21:F22"/>
    <mergeCell ref="G21:H22"/>
    <mergeCell ref="I21:I22"/>
    <mergeCell ref="J21:J22"/>
    <mergeCell ref="L21:N21"/>
    <mergeCell ref="L22:N22"/>
    <mergeCell ref="B19:B20"/>
    <mergeCell ref="C19:C20"/>
    <mergeCell ref="D19:F20"/>
    <mergeCell ref="G19:H20"/>
    <mergeCell ref="I19:I20"/>
    <mergeCell ref="J19:J20"/>
    <mergeCell ref="L23:N23"/>
    <mergeCell ref="L24:N24"/>
    <mergeCell ref="B25:B26"/>
    <mergeCell ref="C25:C26"/>
    <mergeCell ref="D25:F26"/>
    <mergeCell ref="G25:H26"/>
    <mergeCell ref="I25:I26"/>
    <mergeCell ref="J25:J26"/>
    <mergeCell ref="L25:N25"/>
    <mergeCell ref="L26:N26"/>
    <mergeCell ref="B23:B24"/>
    <mergeCell ref="C23:C24"/>
    <mergeCell ref="D23:F24"/>
    <mergeCell ref="G23:H24"/>
    <mergeCell ref="I23:I24"/>
    <mergeCell ref="J23:J24"/>
    <mergeCell ref="L27:N27"/>
    <mergeCell ref="L28:N28"/>
    <mergeCell ref="B29:B30"/>
    <mergeCell ref="C29:C30"/>
    <mergeCell ref="D29:F30"/>
    <mergeCell ref="G29:H30"/>
    <mergeCell ref="I29:I30"/>
    <mergeCell ref="J29:J30"/>
    <mergeCell ref="L29:N29"/>
    <mergeCell ref="L30:N30"/>
    <mergeCell ref="B27:B28"/>
    <mergeCell ref="C27:C28"/>
    <mergeCell ref="D27:F28"/>
    <mergeCell ref="G27:H28"/>
    <mergeCell ref="I27:I28"/>
    <mergeCell ref="J27:J28"/>
    <mergeCell ref="L31:N31"/>
    <mergeCell ref="L32:N32"/>
    <mergeCell ref="B33:B34"/>
    <mergeCell ref="C33:C34"/>
    <mergeCell ref="D33:F34"/>
    <mergeCell ref="G33:H34"/>
    <mergeCell ref="I33:I34"/>
    <mergeCell ref="J33:J34"/>
    <mergeCell ref="L33:N33"/>
    <mergeCell ref="L34:N34"/>
    <mergeCell ref="B31:B32"/>
    <mergeCell ref="C31:C32"/>
    <mergeCell ref="D31:F32"/>
    <mergeCell ref="G31:H32"/>
    <mergeCell ref="I31:I32"/>
    <mergeCell ref="J31:J32"/>
    <mergeCell ref="L35:N35"/>
    <mergeCell ref="L36:N36"/>
    <mergeCell ref="B37:B38"/>
    <mergeCell ref="C37:C38"/>
    <mergeCell ref="D37:F38"/>
    <mergeCell ref="G37:H38"/>
    <mergeCell ref="I37:I38"/>
    <mergeCell ref="J37:J38"/>
    <mergeCell ref="L37:N37"/>
    <mergeCell ref="L38:N38"/>
    <mergeCell ref="B35:B36"/>
    <mergeCell ref="C35:C36"/>
    <mergeCell ref="D35:F36"/>
    <mergeCell ref="G35:H36"/>
    <mergeCell ref="I35:I36"/>
    <mergeCell ref="J35:J36"/>
    <mergeCell ref="L39:N39"/>
    <mergeCell ref="L40:N40"/>
    <mergeCell ref="B41:B42"/>
    <mergeCell ref="C41:C42"/>
    <mergeCell ref="D41:F42"/>
    <mergeCell ref="G41:H42"/>
    <mergeCell ref="I41:I42"/>
    <mergeCell ref="J41:J42"/>
    <mergeCell ref="L41:N41"/>
    <mergeCell ref="L42:N42"/>
    <mergeCell ref="B39:B40"/>
    <mergeCell ref="C39:C40"/>
    <mergeCell ref="D39:F40"/>
    <mergeCell ref="G39:H40"/>
    <mergeCell ref="I39:I40"/>
    <mergeCell ref="J39:J40"/>
    <mergeCell ref="L43:N43"/>
    <mergeCell ref="L44:N44"/>
    <mergeCell ref="B45:B46"/>
    <mergeCell ref="C45:C46"/>
    <mergeCell ref="D45:F46"/>
    <mergeCell ref="G45:H46"/>
    <mergeCell ref="I45:I46"/>
    <mergeCell ref="J45:J46"/>
    <mergeCell ref="L45:N45"/>
    <mergeCell ref="L46:N46"/>
    <mergeCell ref="B43:B44"/>
    <mergeCell ref="C43:C44"/>
    <mergeCell ref="D43:F44"/>
    <mergeCell ref="G43:H44"/>
    <mergeCell ref="I43:I44"/>
    <mergeCell ref="J43:J44"/>
    <mergeCell ref="L47:N47"/>
    <mergeCell ref="L48:N48"/>
    <mergeCell ref="B49:B50"/>
    <mergeCell ref="C49:C50"/>
    <mergeCell ref="D49:F50"/>
    <mergeCell ref="G49:H50"/>
    <mergeCell ref="I49:I50"/>
    <mergeCell ref="J49:J50"/>
    <mergeCell ref="L49:N49"/>
    <mergeCell ref="L50:N50"/>
    <mergeCell ref="B47:B48"/>
    <mergeCell ref="C47:C48"/>
    <mergeCell ref="D47:F48"/>
    <mergeCell ref="G47:H48"/>
    <mergeCell ref="I47:I48"/>
    <mergeCell ref="J47:J48"/>
    <mergeCell ref="L51:N51"/>
    <mergeCell ref="L52:N52"/>
    <mergeCell ref="B53:B54"/>
    <mergeCell ref="C53:C54"/>
    <mergeCell ref="D53:F54"/>
    <mergeCell ref="G53:H54"/>
    <mergeCell ref="I53:I54"/>
    <mergeCell ref="J53:J54"/>
    <mergeCell ref="L53:N53"/>
    <mergeCell ref="L54:N54"/>
    <mergeCell ref="B51:B52"/>
    <mergeCell ref="C51:C52"/>
    <mergeCell ref="D51:F52"/>
    <mergeCell ref="G51:H52"/>
    <mergeCell ref="I51:I52"/>
    <mergeCell ref="J51:J52"/>
  </mergeCells>
  <printOptions horizontalCentered="1"/>
  <pageMargins left="0.27559055118110237" right="0.19685039370078741" top="0.27559055118110237" bottom="0.19685039370078741" header="0.31496062992125984" footer="0.31496062992125984"/>
  <pageSetup paperSize="9" orientation="landscape"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546103E-8760-4F6E-8C97-7302AE04891C}">
          <x14:formula1>
            <xm:f>Base!$A$2:$A$14</xm:f>
          </x14:formula1>
          <xm:sqref>K15 K53 K17 K19 K21 K23 K25 K27 K29 K31 K33 K35 K37 K39 K41 K43 K45 K47 K49 K51 K13</xm:sqref>
        </x14:dataValidation>
        <x14:dataValidation type="list" allowBlank="1" showInputMessage="1" showErrorMessage="1" xr:uid="{743F189D-9A77-4A86-8558-68F6F48AB567}">
          <x14:formula1>
            <xm:f>Base!$B$2:$B$10</xm:f>
          </x14:formula1>
          <xm:sqref>L15:N15 L53:N53 L17:N17 L19:N19 L21:N21 L23:N23 L25:N25 L27:N27 L29:N29 L31:N31 L33:N33 L35:N35 L37:N37 L39:N39 L41:N41 L43:N43 L45:N45 L47:N47 L49:N49 L51:N51 L13:N13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7FAC4-192A-4C2B-9508-7621C39127E9}">
  <sheetPr codeName="Planilha5">
    <tabColor theme="6" tint="-0.499984740745262"/>
  </sheetPr>
  <dimension ref="B1:CS85"/>
  <sheetViews>
    <sheetView showGridLines="0" zoomScale="90" zoomScaleNormal="90" workbookViewId="0">
      <pane xSplit="13" ySplit="4" topLeftCell="N5" activePane="bottomRight" state="frozen"/>
      <selection pane="topRight" activeCell="N1" sqref="N1"/>
      <selection pane="bottomLeft" activeCell="A5" sqref="A5"/>
      <selection pane="bottomRight" activeCell="O15" sqref="O15"/>
    </sheetView>
  </sheetViews>
  <sheetFormatPr defaultRowHeight="15" x14ac:dyDescent="0.25"/>
  <cols>
    <col min="1" max="1" width="1.5703125" customWidth="1"/>
    <col min="4" max="6" width="38.28515625" customWidth="1"/>
    <col min="7" max="7" width="14.42578125" customWidth="1"/>
    <col min="8" max="9" width="11.42578125" customWidth="1"/>
    <col min="10" max="10" width="11.140625" customWidth="1"/>
    <col min="11" max="11" width="12.85546875" customWidth="1"/>
    <col min="12" max="12" width="12" customWidth="1"/>
    <col min="14" max="14" width="9.140625" customWidth="1"/>
    <col min="94" max="94" width="9.140625" customWidth="1"/>
  </cols>
  <sheetData>
    <row r="1" spans="2:97" ht="109.5" customHeight="1" thickBot="1" x14ac:dyDescent="0.3">
      <c r="B1" s="192" t="s">
        <v>97</v>
      </c>
      <c r="C1" s="192"/>
      <c r="D1" s="192"/>
      <c r="E1" s="192"/>
      <c r="F1" s="192"/>
      <c r="G1" s="192"/>
      <c r="H1" s="192"/>
      <c r="I1" s="192"/>
      <c r="J1" s="192"/>
      <c r="K1" s="192"/>
      <c r="L1" s="192"/>
      <c r="M1" s="192"/>
    </row>
    <row r="2" spans="2:97" ht="29.25" customHeight="1" thickBot="1" x14ac:dyDescent="0.3">
      <c r="B2" s="40"/>
      <c r="C2" s="176" t="s">
        <v>98</v>
      </c>
      <c r="D2" s="175" t="s">
        <v>99</v>
      </c>
      <c r="E2" s="175"/>
      <c r="F2" s="175"/>
      <c r="G2" s="175"/>
      <c r="H2" s="175"/>
      <c r="I2" s="175"/>
      <c r="J2" s="175"/>
      <c r="K2" s="175"/>
      <c r="L2" s="175"/>
      <c r="M2" s="175"/>
      <c r="N2" s="189" t="s">
        <v>100</v>
      </c>
      <c r="O2" s="189"/>
      <c r="P2" s="189" t="s">
        <v>101</v>
      </c>
      <c r="Q2" s="189"/>
      <c r="R2" s="189" t="s">
        <v>102</v>
      </c>
      <c r="S2" s="189"/>
      <c r="T2" s="189" t="s">
        <v>103</v>
      </c>
      <c r="U2" s="189"/>
      <c r="V2" s="189" t="s">
        <v>104</v>
      </c>
      <c r="W2" s="189"/>
      <c r="X2" s="189" t="s">
        <v>105</v>
      </c>
      <c r="Y2" s="189"/>
      <c r="Z2" s="189" t="s">
        <v>106</v>
      </c>
      <c r="AA2" s="189"/>
      <c r="AB2" s="189" t="s">
        <v>107</v>
      </c>
      <c r="AC2" s="189"/>
      <c r="AD2" s="189" t="s">
        <v>108</v>
      </c>
      <c r="AE2" s="189"/>
      <c r="AF2" s="189" t="s">
        <v>109</v>
      </c>
      <c r="AG2" s="189"/>
      <c r="AH2" s="189" t="s">
        <v>110</v>
      </c>
      <c r="AI2" s="189"/>
      <c r="AJ2" s="189" t="s">
        <v>111</v>
      </c>
      <c r="AK2" s="189"/>
      <c r="AL2" s="189" t="s">
        <v>112</v>
      </c>
      <c r="AM2" s="189"/>
      <c r="AN2" s="189" t="s">
        <v>113</v>
      </c>
      <c r="AO2" s="189"/>
      <c r="AP2" s="189" t="s">
        <v>114</v>
      </c>
      <c r="AQ2" s="189"/>
      <c r="AR2" s="189" t="s">
        <v>115</v>
      </c>
      <c r="AS2" s="189"/>
      <c r="AT2" s="189" t="s">
        <v>116</v>
      </c>
      <c r="AU2" s="189"/>
      <c r="AV2" s="189" t="s">
        <v>117</v>
      </c>
      <c r="AW2" s="189"/>
      <c r="AX2" s="189" t="s">
        <v>118</v>
      </c>
      <c r="AY2" s="189"/>
      <c r="AZ2" s="189" t="s">
        <v>119</v>
      </c>
      <c r="BA2" s="189"/>
      <c r="BB2" s="189" t="s">
        <v>120</v>
      </c>
      <c r="BC2" s="189"/>
      <c r="BD2" s="189" t="s">
        <v>121</v>
      </c>
      <c r="BE2" s="189"/>
      <c r="BF2" s="189" t="s">
        <v>122</v>
      </c>
      <c r="BG2" s="189"/>
      <c r="BH2" s="189" t="s">
        <v>123</v>
      </c>
      <c r="BI2" s="189"/>
      <c r="BJ2" s="189" t="s">
        <v>124</v>
      </c>
      <c r="BK2" s="189"/>
      <c r="BL2" s="189" t="s">
        <v>125</v>
      </c>
      <c r="BM2" s="189"/>
      <c r="BN2" s="189" t="s">
        <v>126</v>
      </c>
      <c r="BO2" s="189"/>
      <c r="BP2" s="189" t="s">
        <v>127</v>
      </c>
      <c r="BQ2" s="189"/>
      <c r="BR2" s="189" t="s">
        <v>128</v>
      </c>
      <c r="BS2" s="189"/>
      <c r="BT2" s="189" t="s">
        <v>129</v>
      </c>
      <c r="BU2" s="189"/>
      <c r="BV2" s="189" t="s">
        <v>130</v>
      </c>
      <c r="BW2" s="189"/>
      <c r="BX2" s="189" t="s">
        <v>131</v>
      </c>
      <c r="BY2" s="189"/>
      <c r="BZ2" s="189" t="s">
        <v>132</v>
      </c>
      <c r="CA2" s="189"/>
      <c r="CB2" s="189" t="s">
        <v>133</v>
      </c>
      <c r="CC2" s="189"/>
      <c r="CD2" s="189" t="s">
        <v>134</v>
      </c>
      <c r="CE2" s="189"/>
      <c r="CF2" s="189" t="s">
        <v>135</v>
      </c>
      <c r="CG2" s="189"/>
      <c r="CH2" s="189" t="s">
        <v>136</v>
      </c>
      <c r="CI2" s="189"/>
      <c r="CJ2" s="189" t="s">
        <v>137</v>
      </c>
      <c r="CK2" s="189"/>
      <c r="CL2" s="189" t="s">
        <v>138</v>
      </c>
      <c r="CM2" s="189"/>
      <c r="CN2" s="189" t="s">
        <v>139</v>
      </c>
      <c r="CO2" s="189"/>
      <c r="CP2" s="189" t="s">
        <v>140</v>
      </c>
      <c r="CQ2" s="189"/>
      <c r="CR2" s="189"/>
      <c r="CS2" s="189"/>
    </row>
    <row r="3" spans="2:97" ht="21.75" customHeight="1" thickBot="1" x14ac:dyDescent="0.3">
      <c r="B3" s="40"/>
      <c r="C3" s="177"/>
      <c r="D3" s="186" t="s">
        <v>141</v>
      </c>
      <c r="E3" s="194" t="s">
        <v>142</v>
      </c>
      <c r="F3" s="173" t="s">
        <v>143</v>
      </c>
      <c r="G3" s="195" t="s">
        <v>83</v>
      </c>
      <c r="H3" s="187" t="s">
        <v>144</v>
      </c>
      <c r="I3" s="188"/>
      <c r="J3" s="188"/>
      <c r="K3" s="188"/>
      <c r="L3" s="174"/>
      <c r="M3" s="38" t="s">
        <v>145</v>
      </c>
      <c r="N3" s="182" t="s">
        <v>146</v>
      </c>
      <c r="O3" s="182"/>
      <c r="P3" s="182" t="s">
        <v>146</v>
      </c>
      <c r="Q3" s="182"/>
      <c r="R3" s="182" t="s">
        <v>146</v>
      </c>
      <c r="S3" s="182"/>
      <c r="T3" s="182" t="s">
        <v>146</v>
      </c>
      <c r="U3" s="182"/>
      <c r="V3" s="182" t="s">
        <v>146</v>
      </c>
      <c r="W3" s="182"/>
      <c r="X3" s="182" t="s">
        <v>146</v>
      </c>
      <c r="Y3" s="182"/>
      <c r="Z3" s="182" t="s">
        <v>146</v>
      </c>
      <c r="AA3" s="182"/>
      <c r="AB3" s="182" t="s">
        <v>146</v>
      </c>
      <c r="AC3" s="182"/>
      <c r="AD3" s="182" t="s">
        <v>146</v>
      </c>
      <c r="AE3" s="182"/>
      <c r="AF3" s="182" t="s">
        <v>146</v>
      </c>
      <c r="AG3" s="182"/>
      <c r="AH3" s="182" t="s">
        <v>146</v>
      </c>
      <c r="AI3" s="182"/>
      <c r="AJ3" s="182" t="s">
        <v>146</v>
      </c>
      <c r="AK3" s="182"/>
      <c r="AL3" s="182" t="s">
        <v>146</v>
      </c>
      <c r="AM3" s="182"/>
      <c r="AN3" s="182" t="s">
        <v>146</v>
      </c>
      <c r="AO3" s="182"/>
      <c r="AP3" s="182" t="s">
        <v>146</v>
      </c>
      <c r="AQ3" s="182"/>
      <c r="AR3" s="182" t="s">
        <v>146</v>
      </c>
      <c r="AS3" s="182"/>
      <c r="AT3" s="182" t="s">
        <v>146</v>
      </c>
      <c r="AU3" s="182"/>
      <c r="AV3" s="182" t="s">
        <v>146</v>
      </c>
      <c r="AW3" s="182"/>
      <c r="AX3" s="182" t="s">
        <v>146</v>
      </c>
      <c r="AY3" s="182"/>
      <c r="AZ3" s="182" t="s">
        <v>146</v>
      </c>
      <c r="BA3" s="182"/>
      <c r="BB3" s="182" t="s">
        <v>146</v>
      </c>
      <c r="BC3" s="182"/>
      <c r="BD3" s="182" t="s">
        <v>146</v>
      </c>
      <c r="BE3" s="182"/>
      <c r="BF3" s="182" t="s">
        <v>146</v>
      </c>
      <c r="BG3" s="182"/>
      <c r="BH3" s="182" t="s">
        <v>146</v>
      </c>
      <c r="BI3" s="182"/>
      <c r="BJ3" s="182" t="s">
        <v>146</v>
      </c>
      <c r="BK3" s="182"/>
      <c r="BL3" s="182" t="s">
        <v>146</v>
      </c>
      <c r="BM3" s="182"/>
      <c r="BN3" s="182" t="s">
        <v>146</v>
      </c>
      <c r="BO3" s="182"/>
      <c r="BP3" s="182" t="s">
        <v>146</v>
      </c>
      <c r="BQ3" s="182"/>
      <c r="BR3" s="182" t="s">
        <v>146</v>
      </c>
      <c r="BS3" s="182"/>
      <c r="BT3" s="182" t="s">
        <v>146</v>
      </c>
      <c r="BU3" s="182"/>
      <c r="BV3" s="182" t="s">
        <v>146</v>
      </c>
      <c r="BW3" s="182"/>
      <c r="BX3" s="182" t="s">
        <v>146</v>
      </c>
      <c r="BY3" s="182"/>
      <c r="BZ3" s="182" t="s">
        <v>146</v>
      </c>
      <c r="CA3" s="182"/>
      <c r="CB3" s="182" t="s">
        <v>146</v>
      </c>
      <c r="CC3" s="182"/>
      <c r="CD3" s="182" t="s">
        <v>146</v>
      </c>
      <c r="CE3" s="182"/>
      <c r="CF3" s="182" t="s">
        <v>146</v>
      </c>
      <c r="CG3" s="182"/>
      <c r="CH3" s="182" t="s">
        <v>146</v>
      </c>
      <c r="CI3" s="182"/>
      <c r="CJ3" s="182" t="s">
        <v>146</v>
      </c>
      <c r="CK3" s="182"/>
      <c r="CL3" s="182" t="s">
        <v>146</v>
      </c>
      <c r="CM3" s="182"/>
      <c r="CN3" s="182" t="s">
        <v>146</v>
      </c>
      <c r="CO3" s="182"/>
      <c r="CP3" s="182" t="s">
        <v>146</v>
      </c>
      <c r="CQ3" s="182"/>
      <c r="CR3" s="182"/>
      <c r="CS3" s="182"/>
    </row>
    <row r="4" spans="2:97" ht="24.75" customHeight="1" thickBot="1" x14ac:dyDescent="0.3">
      <c r="B4" s="40"/>
      <c r="C4" s="177"/>
      <c r="D4" s="187"/>
      <c r="E4" s="188"/>
      <c r="F4" s="174"/>
      <c r="G4" s="196"/>
      <c r="H4" s="50" t="s">
        <v>147</v>
      </c>
      <c r="I4" s="51" t="s">
        <v>148</v>
      </c>
      <c r="J4" s="51" t="s">
        <v>149</v>
      </c>
      <c r="K4" s="51" t="s">
        <v>150</v>
      </c>
      <c r="L4" s="52" t="s">
        <v>151</v>
      </c>
      <c r="M4" s="39" t="s">
        <v>152</v>
      </c>
      <c r="N4" s="35" t="s">
        <v>153</v>
      </c>
      <c r="O4" s="35" t="s">
        <v>154</v>
      </c>
      <c r="P4" s="35" t="s">
        <v>153</v>
      </c>
      <c r="Q4" s="35" t="s">
        <v>154</v>
      </c>
      <c r="R4" s="35" t="s">
        <v>153</v>
      </c>
      <c r="S4" s="35" t="s">
        <v>154</v>
      </c>
      <c r="T4" s="35" t="s">
        <v>153</v>
      </c>
      <c r="U4" s="35" t="s">
        <v>154</v>
      </c>
      <c r="V4" s="35" t="s">
        <v>153</v>
      </c>
      <c r="W4" s="35" t="s">
        <v>154</v>
      </c>
      <c r="X4" s="35" t="s">
        <v>153</v>
      </c>
      <c r="Y4" s="35" t="s">
        <v>154</v>
      </c>
      <c r="Z4" s="35" t="s">
        <v>153</v>
      </c>
      <c r="AA4" s="35" t="s">
        <v>154</v>
      </c>
      <c r="AB4" s="35" t="s">
        <v>153</v>
      </c>
      <c r="AC4" s="35" t="s">
        <v>154</v>
      </c>
      <c r="AD4" s="35" t="s">
        <v>153</v>
      </c>
      <c r="AE4" s="35" t="s">
        <v>154</v>
      </c>
      <c r="AF4" s="35" t="s">
        <v>153</v>
      </c>
      <c r="AG4" s="35" t="s">
        <v>154</v>
      </c>
      <c r="AH4" s="35" t="s">
        <v>153</v>
      </c>
      <c r="AI4" s="35" t="s">
        <v>154</v>
      </c>
      <c r="AJ4" s="35" t="s">
        <v>153</v>
      </c>
      <c r="AK4" s="35" t="s">
        <v>154</v>
      </c>
      <c r="AL4" s="35" t="s">
        <v>153</v>
      </c>
      <c r="AM4" s="35" t="s">
        <v>154</v>
      </c>
      <c r="AN4" s="35" t="s">
        <v>153</v>
      </c>
      <c r="AO4" s="35" t="s">
        <v>154</v>
      </c>
      <c r="AP4" s="35" t="s">
        <v>153</v>
      </c>
      <c r="AQ4" s="35" t="s">
        <v>154</v>
      </c>
      <c r="AR4" s="35" t="s">
        <v>153</v>
      </c>
      <c r="AS4" s="35" t="s">
        <v>154</v>
      </c>
      <c r="AT4" s="35" t="s">
        <v>153</v>
      </c>
      <c r="AU4" s="35" t="s">
        <v>154</v>
      </c>
      <c r="AV4" s="35" t="s">
        <v>153</v>
      </c>
      <c r="AW4" s="35" t="s">
        <v>154</v>
      </c>
      <c r="AX4" s="35" t="s">
        <v>153</v>
      </c>
      <c r="AY4" s="35" t="s">
        <v>154</v>
      </c>
      <c r="AZ4" s="35" t="s">
        <v>153</v>
      </c>
      <c r="BA4" s="35" t="s">
        <v>154</v>
      </c>
      <c r="BB4" s="35" t="s">
        <v>153</v>
      </c>
      <c r="BC4" s="35" t="s">
        <v>154</v>
      </c>
      <c r="BD4" s="35" t="s">
        <v>153</v>
      </c>
      <c r="BE4" s="35" t="s">
        <v>154</v>
      </c>
      <c r="BF4" s="35" t="s">
        <v>153</v>
      </c>
      <c r="BG4" s="35" t="s">
        <v>154</v>
      </c>
      <c r="BH4" s="35" t="s">
        <v>153</v>
      </c>
      <c r="BI4" s="35" t="s">
        <v>154</v>
      </c>
      <c r="BJ4" s="35" t="s">
        <v>153</v>
      </c>
      <c r="BK4" s="35" t="s">
        <v>154</v>
      </c>
      <c r="BL4" s="35" t="s">
        <v>153</v>
      </c>
      <c r="BM4" s="35" t="s">
        <v>154</v>
      </c>
      <c r="BN4" s="35" t="s">
        <v>153</v>
      </c>
      <c r="BO4" s="35" t="s">
        <v>154</v>
      </c>
      <c r="BP4" s="35" t="s">
        <v>153</v>
      </c>
      <c r="BQ4" s="35" t="s">
        <v>154</v>
      </c>
      <c r="BR4" s="35" t="s">
        <v>153</v>
      </c>
      <c r="BS4" s="35" t="s">
        <v>154</v>
      </c>
      <c r="BT4" s="35" t="s">
        <v>153</v>
      </c>
      <c r="BU4" s="35" t="s">
        <v>154</v>
      </c>
      <c r="BV4" s="35" t="s">
        <v>153</v>
      </c>
      <c r="BW4" s="35" t="s">
        <v>154</v>
      </c>
      <c r="BX4" s="35" t="s">
        <v>153</v>
      </c>
      <c r="BY4" s="35" t="s">
        <v>154</v>
      </c>
      <c r="BZ4" s="35" t="s">
        <v>153</v>
      </c>
      <c r="CA4" s="35" t="s">
        <v>154</v>
      </c>
      <c r="CB4" s="35" t="s">
        <v>153</v>
      </c>
      <c r="CC4" s="35" t="s">
        <v>154</v>
      </c>
      <c r="CD4" s="35" t="s">
        <v>153</v>
      </c>
      <c r="CE4" s="35" t="s">
        <v>154</v>
      </c>
      <c r="CF4" s="35" t="s">
        <v>153</v>
      </c>
      <c r="CG4" s="35" t="s">
        <v>154</v>
      </c>
      <c r="CH4" s="35" t="s">
        <v>153</v>
      </c>
      <c r="CI4" s="35" t="s">
        <v>154</v>
      </c>
      <c r="CJ4" s="35" t="s">
        <v>153</v>
      </c>
      <c r="CK4" s="35" t="s">
        <v>154</v>
      </c>
      <c r="CL4" s="35" t="s">
        <v>153</v>
      </c>
      <c r="CM4" s="35" t="s">
        <v>154</v>
      </c>
      <c r="CN4" s="35" t="s">
        <v>153</v>
      </c>
      <c r="CO4" s="35" t="s">
        <v>154</v>
      </c>
      <c r="CP4" s="35" t="s">
        <v>155</v>
      </c>
      <c r="CQ4" s="35" t="s">
        <v>156</v>
      </c>
      <c r="CR4" s="35" t="s">
        <v>157</v>
      </c>
      <c r="CS4" s="35" t="s">
        <v>158</v>
      </c>
    </row>
    <row r="5" spans="2:97" ht="26.25" thickBot="1" x14ac:dyDescent="0.3">
      <c r="B5" s="183" t="s">
        <v>159</v>
      </c>
      <c r="C5" s="37">
        <v>1</v>
      </c>
      <c r="D5" s="60" t="s">
        <v>160</v>
      </c>
      <c r="E5" s="60" t="s">
        <v>161</v>
      </c>
      <c r="F5" s="60" t="s">
        <v>162</v>
      </c>
      <c r="G5" s="61" t="s">
        <v>4</v>
      </c>
      <c r="H5" s="53" t="s">
        <v>163</v>
      </c>
      <c r="I5" s="53" t="s">
        <v>164</v>
      </c>
      <c r="J5" s="53" t="s">
        <v>165</v>
      </c>
      <c r="K5" s="53" t="s">
        <v>166</v>
      </c>
      <c r="L5" s="53" t="s">
        <v>167</v>
      </c>
      <c r="M5" s="58">
        <v>0.2</v>
      </c>
      <c r="N5" s="57">
        <v>4</v>
      </c>
      <c r="O5" s="57">
        <v>2</v>
      </c>
      <c r="P5" s="57"/>
      <c r="Q5" s="57"/>
      <c r="R5" s="57"/>
      <c r="S5" s="57"/>
      <c r="T5" s="57"/>
      <c r="U5" s="57"/>
      <c r="V5" s="57"/>
      <c r="W5" s="57"/>
      <c r="X5" s="57"/>
      <c r="Y5" s="57"/>
      <c r="Z5" s="57"/>
      <c r="AA5" s="57"/>
      <c r="AB5" s="57"/>
      <c r="AC5" s="57"/>
      <c r="AD5" s="57"/>
      <c r="AE5" s="57"/>
      <c r="AF5" s="57"/>
      <c r="AG5" s="57"/>
      <c r="AH5" s="57"/>
      <c r="AI5" s="57"/>
      <c r="AJ5" s="57"/>
      <c r="AK5" s="57"/>
      <c r="AL5" s="57"/>
      <c r="AM5" s="57"/>
      <c r="AN5" s="57"/>
      <c r="AO5" s="57"/>
      <c r="AP5" s="57"/>
      <c r="AQ5" s="57"/>
      <c r="AR5" s="57"/>
      <c r="AS5" s="57"/>
      <c r="AT5" s="57"/>
      <c r="AU5" s="57"/>
      <c r="AV5" s="57"/>
      <c r="AW5" s="57"/>
      <c r="AX5" s="57"/>
      <c r="AY5" s="57"/>
      <c r="AZ5" s="57"/>
      <c r="BA5" s="57"/>
      <c r="BB5" s="57"/>
      <c r="BC5" s="57"/>
      <c r="BD5" s="57"/>
      <c r="BE5" s="57"/>
      <c r="BF5" s="57"/>
      <c r="BG5" s="57"/>
      <c r="BH5" s="57"/>
      <c r="BI5" s="57"/>
      <c r="BJ5" s="57"/>
      <c r="BK5" s="57"/>
      <c r="BL5" s="57"/>
      <c r="BM5" s="57"/>
      <c r="BN5" s="57"/>
      <c r="BO5" s="57"/>
      <c r="BP5" s="57"/>
      <c r="BQ5" s="57"/>
      <c r="BR5" s="57"/>
      <c r="BS5" s="57"/>
      <c r="BT5" s="57"/>
      <c r="BU5" s="57"/>
      <c r="BV5" s="57"/>
      <c r="BW5" s="57"/>
      <c r="BX5" s="57"/>
      <c r="BY5" s="57"/>
      <c r="BZ5" s="57"/>
      <c r="CA5" s="57"/>
      <c r="CB5" s="57"/>
      <c r="CC5" s="57"/>
      <c r="CD5" s="57"/>
      <c r="CE5" s="57"/>
      <c r="CF5" s="57"/>
      <c r="CG5" s="57"/>
      <c r="CH5" s="57"/>
      <c r="CI5" s="57"/>
      <c r="CJ5" s="57"/>
      <c r="CK5" s="57"/>
      <c r="CL5" s="57"/>
      <c r="CM5" s="57"/>
      <c r="CN5" s="57"/>
      <c r="CO5" s="57"/>
      <c r="CP5" s="49">
        <f>((N5/4*$M$5+P5/4*$M$5+R5/4*$M$5+T5/4*$M$5+V5/4*$M$5+X5/4*$M$5+Z5/4*$M$5+AB5/4*$M$5+AD5/4*$M$5+AF5/4*$M$5+AH5/4*$M$5+AJ5/4*$M$5+AL5/4*$M$5+AN5/4*$M$5+AP5/4*$M$5+AR5/4*$M$5+AT5/4*$M$5+AV5/4*$M$5+AX5/4*$M$5+AZ5/4*$M$5+BB5/4*$M$5+BD5/4*$M$5+BF5/4*$M$5+BH5/4*$M$5+BJ5/4*$M$5+BL5/4*$M$5+BN5/4*$M$5+BP5/4*$M$5+BR5/4*$M$5+BT5/4*$M$5+BV5/4*$M$5+BX5/4*$M$5+BZ5/4*$M$5+CB5/4*$M$5+CD5/4*$M$5+CF5/4*$M$5+CH5/4*$M$5+CJ5/4*$M$5+CL5/4*$M$5+CN5/4*$M$5)/40)*10</f>
        <v>0.05</v>
      </c>
      <c r="CQ5" s="49">
        <f>((O5/4*$M$5+Q5/4*$M$5+S5/4*$M$5+U5/4*$M$5+W5/4*$M$5+Y5/4*$M$5+AA5/4*$M$5+AC5/4*$M$5+AE5/4*$M$5+AG5/4*$M$5+AI5/4*$M$5+AK5/4*$M$5+AM5/4*$M$5+AO5/4*$M$5+AQ5/4*$M$5+AS5/4*$M$5+AU5/4*$M$5+AW5/4*$M$5+AY5/4*$M$5+BA5/4*$M$5+BC5/4*$M$5+BE5/4*$M$5+BG5/4*$M$5+BI5/4*$M$5+BK5/4*$M$5+BM5/4*$M$5+BO5/4*$M$5+BQ5/4*$M$5+BS5/4*$M$5+BU5/4*$M$5+BW5/4*$M$5+BY5/4*$M$5+CA5/4*$M$5+CC5/4*$M$5+CE5/4*$M$5+CG5/4*$M$5+CI5/4*$M$5+CK5/4*$M$5+CM5/4*$M$5+CO5/4*$M$5)/40)*10</f>
        <v>2.5000000000000001E-2</v>
      </c>
      <c r="CR5" s="47">
        <f>AVERAGE(CP5:CQ5)</f>
        <v>3.7500000000000006E-2</v>
      </c>
      <c r="CS5" s="48">
        <f>(CR5)*100</f>
        <v>3.7500000000000004</v>
      </c>
    </row>
    <row r="6" spans="2:97" ht="26.25" thickBot="1" x14ac:dyDescent="0.3">
      <c r="B6" s="184"/>
      <c r="C6" s="37">
        <v>2</v>
      </c>
      <c r="D6" s="60" t="s">
        <v>168</v>
      </c>
      <c r="E6" s="60" t="s">
        <v>169</v>
      </c>
      <c r="F6" s="60" t="s">
        <v>170</v>
      </c>
      <c r="G6" s="61" t="s">
        <v>4</v>
      </c>
      <c r="H6" s="53" t="s">
        <v>163</v>
      </c>
      <c r="I6" s="53" t="s">
        <v>164</v>
      </c>
      <c r="J6" s="53" t="s">
        <v>165</v>
      </c>
      <c r="K6" s="53" t="s">
        <v>166</v>
      </c>
      <c r="L6" s="53" t="s">
        <v>167</v>
      </c>
      <c r="M6" s="58">
        <v>2.5000000000000001E-2</v>
      </c>
      <c r="N6" s="57">
        <v>4</v>
      </c>
      <c r="O6" s="57">
        <v>2</v>
      </c>
      <c r="P6" s="57"/>
      <c r="Q6" s="57"/>
      <c r="R6" s="57"/>
      <c r="S6" s="57"/>
      <c r="T6" s="57"/>
      <c r="U6" s="57"/>
      <c r="V6" s="57"/>
      <c r="W6" s="57"/>
      <c r="X6" s="57"/>
      <c r="Y6" s="57"/>
      <c r="Z6" s="57"/>
      <c r="AA6" s="57"/>
      <c r="AB6" s="57"/>
      <c r="AC6" s="57"/>
      <c r="AD6" s="57"/>
      <c r="AE6" s="57"/>
      <c r="AF6" s="57"/>
      <c r="AG6" s="57"/>
      <c r="AH6" s="57"/>
      <c r="AI6" s="57"/>
      <c r="AJ6" s="57"/>
      <c r="AK6" s="57"/>
      <c r="AL6" s="57"/>
      <c r="AM6" s="57"/>
      <c r="AN6" s="57"/>
      <c r="AO6" s="57"/>
      <c r="AP6" s="57"/>
      <c r="AQ6" s="57"/>
      <c r="AR6" s="57"/>
      <c r="AS6" s="57"/>
      <c r="AT6" s="57"/>
      <c r="AU6" s="57"/>
      <c r="AV6" s="57"/>
      <c r="AW6" s="57"/>
      <c r="AX6" s="57"/>
      <c r="AY6" s="57"/>
      <c r="AZ6" s="57"/>
      <c r="BA6" s="57"/>
      <c r="BB6" s="57"/>
      <c r="BC6" s="57"/>
      <c r="BD6" s="57"/>
      <c r="BE6" s="57"/>
      <c r="BF6" s="57"/>
      <c r="BG6" s="57"/>
      <c r="BH6" s="57"/>
      <c r="BI6" s="57"/>
      <c r="BJ6" s="57"/>
      <c r="BK6" s="57"/>
      <c r="BL6" s="57"/>
      <c r="BM6" s="57"/>
      <c r="BN6" s="57"/>
      <c r="BO6" s="57"/>
      <c r="BP6" s="57"/>
      <c r="BQ6" s="57"/>
      <c r="BR6" s="57"/>
      <c r="BS6" s="57"/>
      <c r="BT6" s="57"/>
      <c r="BU6" s="57"/>
      <c r="BV6" s="57"/>
      <c r="BW6" s="57"/>
      <c r="BX6" s="57"/>
      <c r="BY6" s="57"/>
      <c r="BZ6" s="57"/>
      <c r="CA6" s="57"/>
      <c r="CB6" s="57"/>
      <c r="CC6" s="57"/>
      <c r="CD6" s="57"/>
      <c r="CE6" s="57"/>
      <c r="CF6" s="57"/>
      <c r="CG6" s="57"/>
      <c r="CH6" s="57"/>
      <c r="CI6" s="57"/>
      <c r="CJ6" s="57"/>
      <c r="CK6" s="57"/>
      <c r="CL6" s="57"/>
      <c r="CM6" s="57"/>
      <c r="CN6" s="57"/>
      <c r="CO6" s="57"/>
      <c r="CP6" s="49">
        <f t="shared" ref="CP6:CP69" si="0">((N6/4*$M$5+P6/4*$M$5+R6/4*$M$5+T6/4*$M$5+V6/4*$M$5+X6/4*$M$5+Z6/4*$M$5+AB6/4*$M$5+AD6/4*$M$5+AF6/4*$M$5+AH6/4*$M$5+AJ6/4*$M$5+AL6/4*$M$5+AN6/4*$M$5+AP6/4*$M$5+AR6/4*$M$5+AT6/4*$M$5+AV6/4*$M$5+AX6/4*$M$5+AZ6/4*$M$5+BB6/4*$M$5+BD6/4*$M$5+BF6/4*$M$5+BH6/4*$M$5+BJ6/4*$M$5+BL6/4*$M$5+BN6/4*$M$5+BP6/4*$M$5+BR6/4*$M$5+BT6/4*$M$5+BV6/4*$M$5+BX6/4*$M$5+BZ6/4*$M$5+CB6/4*$M$5+CD6/4*$M$5+CF6/4*$M$5+CH6/4*$M$5+CJ6/4*$M$5+CL6/4*$M$5+CN6/4*$M$5)/40)*10</f>
        <v>0.05</v>
      </c>
      <c r="CQ6" s="49">
        <f t="shared" ref="CQ6:CQ69" si="1">((O6/4*$M$5+Q6/4*$M$5+S6/4*$M$5+U6/4*$M$5+W6/4*$M$5+Y6/4*$M$5+AA6/4*$M$5+AC6/4*$M$5+AE6/4*$M$5+AG6/4*$M$5+AI6/4*$M$5+AK6/4*$M$5+AM6/4*$M$5+AO6/4*$M$5+AQ6/4*$M$5+AS6/4*$M$5+AU6/4*$M$5+AW6/4*$M$5+AY6/4*$M$5+BA6/4*$M$5+BC6/4*$M$5+BE6/4*$M$5+BG6/4*$M$5+BI6/4*$M$5+BK6/4*$M$5+BM6/4*$M$5+BO6/4*$M$5+BQ6/4*$M$5+BS6/4*$M$5+BU6/4*$M$5+BW6/4*$M$5+BY6/4*$M$5+CA6/4*$M$5+CC6/4*$M$5+CE6/4*$M$5+CG6/4*$M$5+CI6/4*$M$5+CK6/4*$M$5+CM6/4*$M$5+CO6/4*$M$5)/40)*10</f>
        <v>2.5000000000000001E-2</v>
      </c>
      <c r="CR6" s="47">
        <f t="shared" ref="CR6:CR69" si="2">AVERAGE(CP6:CQ6)</f>
        <v>3.7500000000000006E-2</v>
      </c>
      <c r="CS6" s="48">
        <f t="shared" ref="CS6:CS69" si="3">(CR6)*100</f>
        <v>3.7500000000000004</v>
      </c>
    </row>
    <row r="7" spans="2:97" ht="26.25" thickBot="1" x14ac:dyDescent="0.3">
      <c r="B7" s="184"/>
      <c r="C7" s="37">
        <v>3</v>
      </c>
      <c r="D7" s="60" t="s">
        <v>171</v>
      </c>
      <c r="E7" s="60" t="s">
        <v>172</v>
      </c>
      <c r="F7" s="60" t="s">
        <v>170</v>
      </c>
      <c r="G7" s="61" t="s">
        <v>9</v>
      </c>
      <c r="H7" s="53" t="s">
        <v>163</v>
      </c>
      <c r="I7" s="53" t="s">
        <v>164</v>
      </c>
      <c r="J7" s="53" t="s">
        <v>165</v>
      </c>
      <c r="K7" s="53" t="s">
        <v>166</v>
      </c>
      <c r="L7" s="53" t="s">
        <v>167</v>
      </c>
      <c r="M7" s="58">
        <v>2.5000000000000001E-2</v>
      </c>
      <c r="N7" s="57">
        <v>4</v>
      </c>
      <c r="O7" s="57">
        <v>2</v>
      </c>
      <c r="P7" s="57"/>
      <c r="Q7" s="57"/>
      <c r="R7" s="57"/>
      <c r="S7" s="57"/>
      <c r="T7" s="57"/>
      <c r="U7" s="57"/>
      <c r="V7" s="57"/>
      <c r="W7" s="57"/>
      <c r="X7" s="57"/>
      <c r="Y7" s="57"/>
      <c r="Z7" s="57"/>
      <c r="AA7" s="57"/>
      <c r="AB7" s="57"/>
      <c r="AC7" s="57"/>
      <c r="AD7" s="57"/>
      <c r="AE7" s="57"/>
      <c r="AF7" s="57"/>
      <c r="AG7" s="57"/>
      <c r="AH7" s="57"/>
      <c r="AI7" s="57"/>
      <c r="AJ7" s="57"/>
      <c r="AK7" s="57"/>
      <c r="AL7" s="57"/>
      <c r="AM7" s="57"/>
      <c r="AN7" s="57"/>
      <c r="AO7" s="57"/>
      <c r="AP7" s="57"/>
      <c r="AQ7" s="57"/>
      <c r="AR7" s="57"/>
      <c r="AS7" s="57"/>
      <c r="AT7" s="57"/>
      <c r="AU7" s="57"/>
      <c r="AV7" s="57"/>
      <c r="AW7" s="57"/>
      <c r="AX7" s="57"/>
      <c r="AY7" s="57"/>
      <c r="AZ7" s="57"/>
      <c r="BA7" s="57"/>
      <c r="BB7" s="57"/>
      <c r="BC7" s="57"/>
      <c r="BD7" s="57"/>
      <c r="BE7" s="57"/>
      <c r="BF7" s="57"/>
      <c r="BG7" s="57"/>
      <c r="BH7" s="57"/>
      <c r="BI7" s="57"/>
      <c r="BJ7" s="57"/>
      <c r="BK7" s="57"/>
      <c r="BL7" s="57"/>
      <c r="BM7" s="57"/>
      <c r="BN7" s="57"/>
      <c r="BO7" s="57"/>
      <c r="BP7" s="57"/>
      <c r="BQ7" s="57"/>
      <c r="BR7" s="57"/>
      <c r="BS7" s="57"/>
      <c r="BT7" s="57"/>
      <c r="BU7" s="57"/>
      <c r="BV7" s="57"/>
      <c r="BW7" s="57"/>
      <c r="BX7" s="57"/>
      <c r="BY7" s="57"/>
      <c r="BZ7" s="57"/>
      <c r="CA7" s="57"/>
      <c r="CB7" s="57"/>
      <c r="CC7" s="57"/>
      <c r="CD7" s="57"/>
      <c r="CE7" s="57"/>
      <c r="CF7" s="57"/>
      <c r="CG7" s="57"/>
      <c r="CH7" s="57"/>
      <c r="CI7" s="57"/>
      <c r="CJ7" s="57"/>
      <c r="CK7" s="57"/>
      <c r="CL7" s="57"/>
      <c r="CM7" s="57"/>
      <c r="CN7" s="57"/>
      <c r="CO7" s="57"/>
      <c r="CP7" s="49">
        <f t="shared" si="0"/>
        <v>0.05</v>
      </c>
      <c r="CQ7" s="49">
        <f t="shared" si="1"/>
        <v>2.5000000000000001E-2</v>
      </c>
      <c r="CR7" s="47">
        <f t="shared" si="2"/>
        <v>3.7500000000000006E-2</v>
      </c>
      <c r="CS7" s="48">
        <f t="shared" si="3"/>
        <v>3.7500000000000004</v>
      </c>
    </row>
    <row r="8" spans="2:97" ht="26.25" thickBot="1" x14ac:dyDescent="0.3">
      <c r="B8" s="184"/>
      <c r="C8" s="37">
        <v>4</v>
      </c>
      <c r="D8" s="60" t="s">
        <v>173</v>
      </c>
      <c r="E8" s="60" t="s">
        <v>174</v>
      </c>
      <c r="F8" s="60" t="s">
        <v>170</v>
      </c>
      <c r="G8" s="61" t="s">
        <v>9</v>
      </c>
      <c r="H8" s="53" t="s">
        <v>163</v>
      </c>
      <c r="I8" s="53" t="s">
        <v>164</v>
      </c>
      <c r="J8" s="53" t="s">
        <v>165</v>
      </c>
      <c r="K8" s="53" t="s">
        <v>166</v>
      </c>
      <c r="L8" s="53" t="s">
        <v>167</v>
      </c>
      <c r="M8" s="58">
        <v>2.5000000000000001E-2</v>
      </c>
      <c r="N8" s="57">
        <v>4</v>
      </c>
      <c r="O8" s="57">
        <v>2</v>
      </c>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7"/>
      <c r="CJ8" s="57"/>
      <c r="CK8" s="57"/>
      <c r="CL8" s="57"/>
      <c r="CM8" s="57"/>
      <c r="CN8" s="57"/>
      <c r="CO8" s="57"/>
      <c r="CP8" s="49">
        <f t="shared" si="0"/>
        <v>0.05</v>
      </c>
      <c r="CQ8" s="49">
        <f t="shared" si="1"/>
        <v>2.5000000000000001E-2</v>
      </c>
      <c r="CR8" s="47">
        <f t="shared" si="2"/>
        <v>3.7500000000000006E-2</v>
      </c>
      <c r="CS8" s="48">
        <f t="shared" si="3"/>
        <v>3.7500000000000004</v>
      </c>
    </row>
    <row r="9" spans="2:97" ht="26.25" thickBot="1" x14ac:dyDescent="0.3">
      <c r="B9" s="184"/>
      <c r="C9" s="37">
        <v>5</v>
      </c>
      <c r="D9" s="60" t="s">
        <v>175</v>
      </c>
      <c r="E9" s="60" t="s">
        <v>176</v>
      </c>
      <c r="F9" s="60" t="s">
        <v>162</v>
      </c>
      <c r="G9" s="61" t="s">
        <v>14</v>
      </c>
      <c r="H9" s="53" t="s">
        <v>163</v>
      </c>
      <c r="I9" s="53" t="s">
        <v>164</v>
      </c>
      <c r="J9" s="53" t="s">
        <v>165</v>
      </c>
      <c r="K9" s="53" t="s">
        <v>166</v>
      </c>
      <c r="L9" s="53" t="s">
        <v>167</v>
      </c>
      <c r="M9" s="58">
        <v>2.5000000000000001E-2</v>
      </c>
      <c r="N9" s="57">
        <v>4</v>
      </c>
      <c r="O9" s="57">
        <v>2</v>
      </c>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49">
        <f t="shared" si="0"/>
        <v>0.05</v>
      </c>
      <c r="CQ9" s="49">
        <f t="shared" si="1"/>
        <v>2.5000000000000001E-2</v>
      </c>
      <c r="CR9" s="47">
        <f t="shared" si="2"/>
        <v>3.7500000000000006E-2</v>
      </c>
      <c r="CS9" s="48">
        <f t="shared" si="3"/>
        <v>3.7500000000000004</v>
      </c>
    </row>
    <row r="10" spans="2:97" ht="26.25" thickBot="1" x14ac:dyDescent="0.3">
      <c r="B10" s="184"/>
      <c r="C10" s="37">
        <v>6</v>
      </c>
      <c r="D10" s="60" t="s">
        <v>177</v>
      </c>
      <c r="E10" s="60" t="s">
        <v>178</v>
      </c>
      <c r="F10" s="60" t="s">
        <v>179</v>
      </c>
      <c r="G10" s="61" t="s">
        <v>14</v>
      </c>
      <c r="H10" s="53" t="s">
        <v>163</v>
      </c>
      <c r="I10" s="53" t="s">
        <v>164</v>
      </c>
      <c r="J10" s="53" t="s">
        <v>165</v>
      </c>
      <c r="K10" s="53" t="s">
        <v>166</v>
      </c>
      <c r="L10" s="53" t="s">
        <v>167</v>
      </c>
      <c r="M10" s="58">
        <v>0.05</v>
      </c>
      <c r="N10" s="57">
        <v>4</v>
      </c>
      <c r="O10" s="57">
        <v>2</v>
      </c>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49">
        <f t="shared" si="0"/>
        <v>0.05</v>
      </c>
      <c r="CQ10" s="49">
        <f t="shared" si="1"/>
        <v>2.5000000000000001E-2</v>
      </c>
      <c r="CR10" s="47">
        <f t="shared" si="2"/>
        <v>3.7500000000000006E-2</v>
      </c>
      <c r="CS10" s="48">
        <f t="shared" si="3"/>
        <v>3.7500000000000004</v>
      </c>
    </row>
    <row r="11" spans="2:97" ht="26.25" thickBot="1" x14ac:dyDescent="0.3">
      <c r="B11" s="184"/>
      <c r="C11" s="37">
        <v>7</v>
      </c>
      <c r="D11" s="60" t="s">
        <v>180</v>
      </c>
      <c r="E11" s="60" t="s">
        <v>181</v>
      </c>
      <c r="F11" s="60" t="s">
        <v>182</v>
      </c>
      <c r="G11" s="61" t="s">
        <v>14</v>
      </c>
      <c r="H11" s="53" t="s">
        <v>163</v>
      </c>
      <c r="I11" s="53" t="s">
        <v>164</v>
      </c>
      <c r="J11" s="53" t="s">
        <v>165</v>
      </c>
      <c r="K11" s="53" t="s">
        <v>166</v>
      </c>
      <c r="L11" s="53" t="s">
        <v>167</v>
      </c>
      <c r="M11" s="58">
        <v>0.05</v>
      </c>
      <c r="N11" s="57">
        <v>4</v>
      </c>
      <c r="O11" s="57">
        <v>2</v>
      </c>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49">
        <f t="shared" si="0"/>
        <v>0.05</v>
      </c>
      <c r="CQ11" s="49">
        <f t="shared" si="1"/>
        <v>2.5000000000000001E-2</v>
      </c>
      <c r="CR11" s="47">
        <f t="shared" si="2"/>
        <v>3.7500000000000006E-2</v>
      </c>
      <c r="CS11" s="48">
        <f t="shared" si="3"/>
        <v>3.7500000000000004</v>
      </c>
    </row>
    <row r="12" spans="2:97" ht="26.25" thickBot="1" x14ac:dyDescent="0.3">
      <c r="B12" s="184"/>
      <c r="C12" s="37">
        <v>8</v>
      </c>
      <c r="D12" s="60" t="s">
        <v>183</v>
      </c>
      <c r="E12" s="60" t="s">
        <v>184</v>
      </c>
      <c r="F12" s="60" t="s">
        <v>182</v>
      </c>
      <c r="G12" s="61" t="s">
        <v>19</v>
      </c>
      <c r="H12" s="53" t="s">
        <v>163</v>
      </c>
      <c r="I12" s="53" t="s">
        <v>164</v>
      </c>
      <c r="J12" s="53" t="s">
        <v>165</v>
      </c>
      <c r="K12" s="53" t="s">
        <v>166</v>
      </c>
      <c r="L12" s="53" t="s">
        <v>167</v>
      </c>
      <c r="M12" s="58">
        <v>0.3</v>
      </c>
      <c r="N12" s="57">
        <v>4</v>
      </c>
      <c r="O12" s="57">
        <v>2</v>
      </c>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49">
        <f t="shared" si="0"/>
        <v>0.05</v>
      </c>
      <c r="CQ12" s="49">
        <f t="shared" si="1"/>
        <v>2.5000000000000001E-2</v>
      </c>
      <c r="CR12" s="47">
        <f t="shared" si="2"/>
        <v>3.7500000000000006E-2</v>
      </c>
      <c r="CS12" s="48">
        <f t="shared" si="3"/>
        <v>3.7500000000000004</v>
      </c>
    </row>
    <row r="13" spans="2:97" ht="26.25" thickBot="1" x14ac:dyDescent="0.3">
      <c r="B13" s="184"/>
      <c r="C13" s="37">
        <v>9</v>
      </c>
      <c r="D13" s="60" t="s">
        <v>185</v>
      </c>
      <c r="E13" s="60" t="s">
        <v>186</v>
      </c>
      <c r="F13" s="60" t="s">
        <v>187</v>
      </c>
      <c r="G13" s="61" t="s">
        <v>19</v>
      </c>
      <c r="H13" s="53" t="s">
        <v>163</v>
      </c>
      <c r="I13" s="53" t="s">
        <v>164</v>
      </c>
      <c r="J13" s="53" t="s">
        <v>165</v>
      </c>
      <c r="K13" s="53" t="s">
        <v>166</v>
      </c>
      <c r="L13" s="53" t="s">
        <v>167</v>
      </c>
      <c r="M13" s="58">
        <v>0.2</v>
      </c>
      <c r="N13" s="57">
        <v>4</v>
      </c>
      <c r="O13" s="57">
        <v>2</v>
      </c>
      <c r="P13" s="57"/>
      <c r="Q13" s="57"/>
      <c r="R13" s="57"/>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49">
        <f t="shared" si="0"/>
        <v>0.05</v>
      </c>
      <c r="CQ13" s="49">
        <f t="shared" si="1"/>
        <v>2.5000000000000001E-2</v>
      </c>
      <c r="CR13" s="47">
        <f t="shared" si="2"/>
        <v>3.7500000000000006E-2</v>
      </c>
      <c r="CS13" s="48">
        <f t="shared" si="3"/>
        <v>3.7500000000000004</v>
      </c>
    </row>
    <row r="14" spans="2:97" ht="26.25" thickBot="1" x14ac:dyDescent="0.3">
      <c r="B14" s="184"/>
      <c r="C14" s="37">
        <v>10</v>
      </c>
      <c r="D14" s="60" t="s">
        <v>188</v>
      </c>
      <c r="E14" s="60" t="s">
        <v>189</v>
      </c>
      <c r="F14" s="60" t="s">
        <v>179</v>
      </c>
      <c r="G14" s="61" t="s">
        <v>19</v>
      </c>
      <c r="H14" s="53" t="s">
        <v>163</v>
      </c>
      <c r="I14" s="53" t="s">
        <v>164</v>
      </c>
      <c r="J14" s="53" t="s">
        <v>165</v>
      </c>
      <c r="K14" s="53" t="s">
        <v>166</v>
      </c>
      <c r="L14" s="53" t="s">
        <v>167</v>
      </c>
      <c r="M14" s="58">
        <v>0.1</v>
      </c>
      <c r="N14" s="57">
        <v>4</v>
      </c>
      <c r="O14" s="57">
        <v>2</v>
      </c>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7"/>
      <c r="BW14" s="57"/>
      <c r="BX14" s="57"/>
      <c r="BY14" s="57"/>
      <c r="BZ14" s="57"/>
      <c r="CA14" s="57"/>
      <c r="CB14" s="57"/>
      <c r="CC14" s="57"/>
      <c r="CD14" s="57"/>
      <c r="CE14" s="57"/>
      <c r="CF14" s="57"/>
      <c r="CG14" s="57"/>
      <c r="CH14" s="57"/>
      <c r="CI14" s="57"/>
      <c r="CJ14" s="57"/>
      <c r="CK14" s="57"/>
      <c r="CL14" s="57"/>
      <c r="CM14" s="57"/>
      <c r="CN14" s="57"/>
      <c r="CO14" s="57"/>
      <c r="CP14" s="49">
        <f t="shared" si="0"/>
        <v>0.05</v>
      </c>
      <c r="CQ14" s="49">
        <f t="shared" si="1"/>
        <v>2.5000000000000001E-2</v>
      </c>
      <c r="CR14" s="47">
        <f t="shared" si="2"/>
        <v>3.7500000000000006E-2</v>
      </c>
      <c r="CS14" s="48">
        <f t="shared" si="3"/>
        <v>3.7500000000000004</v>
      </c>
    </row>
    <row r="15" spans="2:97" ht="26.25" thickBot="1" x14ac:dyDescent="0.3">
      <c r="B15" s="184"/>
      <c r="C15" s="37">
        <v>11</v>
      </c>
      <c r="D15" s="62"/>
      <c r="E15" s="62"/>
      <c r="F15" s="60"/>
      <c r="G15" s="61"/>
      <c r="H15" s="53" t="s">
        <v>163</v>
      </c>
      <c r="I15" s="53" t="s">
        <v>164</v>
      </c>
      <c r="J15" s="53" t="s">
        <v>165</v>
      </c>
      <c r="K15" s="53" t="s">
        <v>166</v>
      </c>
      <c r="L15" s="53" t="s">
        <v>167</v>
      </c>
      <c r="M15" s="58"/>
      <c r="N15" s="57"/>
      <c r="O15" s="57"/>
      <c r="P15" s="57"/>
      <c r="Q15" s="57"/>
      <c r="R15" s="57"/>
      <c r="S15" s="57"/>
      <c r="T15" s="57"/>
      <c r="U15" s="57"/>
      <c r="V15" s="57"/>
      <c r="W15" s="57"/>
      <c r="X15" s="57"/>
      <c r="Y15" s="57"/>
      <c r="Z15" s="57"/>
      <c r="AA15" s="57"/>
      <c r="AB15" s="57"/>
      <c r="AC15" s="57"/>
      <c r="AD15" s="57"/>
      <c r="AE15" s="57"/>
      <c r="AF15" s="57"/>
      <c r="AG15" s="57"/>
      <c r="AH15" s="57"/>
      <c r="AI15" s="57"/>
      <c r="AJ15" s="57"/>
      <c r="AK15" s="57"/>
      <c r="AL15" s="57"/>
      <c r="AM15" s="57"/>
      <c r="AN15" s="57"/>
      <c r="AO15" s="57"/>
      <c r="AP15" s="57"/>
      <c r="AQ15" s="57"/>
      <c r="AR15" s="57"/>
      <c r="AS15" s="57"/>
      <c r="AT15" s="57"/>
      <c r="AU15" s="57"/>
      <c r="AV15" s="57"/>
      <c r="AW15" s="57"/>
      <c r="AX15" s="57"/>
      <c r="AY15" s="57"/>
      <c r="AZ15" s="57"/>
      <c r="BA15" s="57"/>
      <c r="BB15" s="57"/>
      <c r="BC15" s="57"/>
      <c r="BD15" s="57"/>
      <c r="BE15" s="57"/>
      <c r="BF15" s="57"/>
      <c r="BG15" s="57"/>
      <c r="BH15" s="57"/>
      <c r="BI15" s="57"/>
      <c r="BJ15" s="57"/>
      <c r="BK15" s="57"/>
      <c r="BL15" s="57"/>
      <c r="BM15" s="57"/>
      <c r="BN15" s="57"/>
      <c r="BO15" s="57"/>
      <c r="BP15" s="57"/>
      <c r="BQ15" s="57"/>
      <c r="BR15" s="57"/>
      <c r="BS15" s="57"/>
      <c r="BT15" s="57"/>
      <c r="BU15" s="57"/>
      <c r="BV15" s="57"/>
      <c r="BW15" s="57"/>
      <c r="BX15" s="57"/>
      <c r="BY15" s="57"/>
      <c r="BZ15" s="57"/>
      <c r="CA15" s="57"/>
      <c r="CB15" s="57"/>
      <c r="CC15" s="57"/>
      <c r="CD15" s="57"/>
      <c r="CE15" s="57"/>
      <c r="CF15" s="57"/>
      <c r="CG15" s="57"/>
      <c r="CH15" s="57"/>
      <c r="CI15" s="57"/>
      <c r="CJ15" s="57"/>
      <c r="CK15" s="57"/>
      <c r="CL15" s="57"/>
      <c r="CM15" s="57"/>
      <c r="CN15" s="57"/>
      <c r="CO15" s="57"/>
      <c r="CP15" s="49">
        <f t="shared" si="0"/>
        <v>0</v>
      </c>
      <c r="CQ15" s="49">
        <f t="shared" si="1"/>
        <v>0</v>
      </c>
      <c r="CR15" s="47">
        <f t="shared" si="2"/>
        <v>0</v>
      </c>
      <c r="CS15" s="48">
        <f t="shared" si="3"/>
        <v>0</v>
      </c>
    </row>
    <row r="16" spans="2:97" ht="26.25" thickBot="1" x14ac:dyDescent="0.3">
      <c r="B16" s="184"/>
      <c r="C16" s="37">
        <v>12</v>
      </c>
      <c r="D16" s="62"/>
      <c r="E16" s="62"/>
      <c r="F16" s="60"/>
      <c r="G16" s="61"/>
      <c r="H16" s="53" t="s">
        <v>163</v>
      </c>
      <c r="I16" s="53" t="s">
        <v>164</v>
      </c>
      <c r="J16" s="53" t="s">
        <v>165</v>
      </c>
      <c r="K16" s="53" t="s">
        <v>166</v>
      </c>
      <c r="L16" s="53" t="s">
        <v>167</v>
      </c>
      <c r="M16" s="58"/>
      <c r="N16" s="57"/>
      <c r="O16" s="57"/>
      <c r="P16" s="57"/>
      <c r="Q16" s="57"/>
      <c r="R16" s="57"/>
      <c r="S16" s="57"/>
      <c r="T16" s="57"/>
      <c r="U16" s="57"/>
      <c r="V16" s="57"/>
      <c r="W16" s="57"/>
      <c r="X16" s="57"/>
      <c r="Y16" s="57"/>
      <c r="Z16" s="57"/>
      <c r="AA16" s="57"/>
      <c r="AB16" s="57"/>
      <c r="AC16" s="57"/>
      <c r="AD16" s="57"/>
      <c r="AE16" s="57"/>
      <c r="AF16" s="57"/>
      <c r="AG16" s="57"/>
      <c r="AH16" s="57"/>
      <c r="AI16" s="57"/>
      <c r="AJ16" s="57"/>
      <c r="AK16" s="57"/>
      <c r="AL16" s="57"/>
      <c r="AM16" s="57"/>
      <c r="AN16" s="57"/>
      <c r="AO16" s="57"/>
      <c r="AP16" s="57"/>
      <c r="AQ16" s="57"/>
      <c r="AR16" s="57"/>
      <c r="AS16" s="57"/>
      <c r="AT16" s="57"/>
      <c r="AU16" s="57"/>
      <c r="AV16" s="57"/>
      <c r="AW16" s="57"/>
      <c r="AX16" s="57"/>
      <c r="AY16" s="57"/>
      <c r="AZ16" s="57"/>
      <c r="BA16" s="57"/>
      <c r="BB16" s="57"/>
      <c r="BC16" s="57"/>
      <c r="BD16" s="57"/>
      <c r="BE16" s="57"/>
      <c r="BF16" s="57"/>
      <c r="BG16" s="57"/>
      <c r="BH16" s="57"/>
      <c r="BI16" s="57"/>
      <c r="BJ16" s="57"/>
      <c r="BK16" s="57"/>
      <c r="BL16" s="57"/>
      <c r="BM16" s="57"/>
      <c r="BN16" s="57"/>
      <c r="BO16" s="57"/>
      <c r="BP16" s="57"/>
      <c r="BQ16" s="57"/>
      <c r="BR16" s="57"/>
      <c r="BS16" s="57"/>
      <c r="BT16" s="57"/>
      <c r="BU16" s="57"/>
      <c r="BV16" s="57"/>
      <c r="BW16" s="57"/>
      <c r="BX16" s="57"/>
      <c r="BY16" s="57"/>
      <c r="BZ16" s="57"/>
      <c r="CA16" s="57"/>
      <c r="CB16" s="57"/>
      <c r="CC16" s="57"/>
      <c r="CD16" s="57"/>
      <c r="CE16" s="57"/>
      <c r="CF16" s="57"/>
      <c r="CG16" s="57"/>
      <c r="CH16" s="57"/>
      <c r="CI16" s="57"/>
      <c r="CJ16" s="57"/>
      <c r="CK16" s="57"/>
      <c r="CL16" s="57"/>
      <c r="CM16" s="57"/>
      <c r="CN16" s="57"/>
      <c r="CO16" s="57"/>
      <c r="CP16" s="49">
        <f t="shared" si="0"/>
        <v>0</v>
      </c>
      <c r="CQ16" s="49">
        <f t="shared" si="1"/>
        <v>0</v>
      </c>
      <c r="CR16" s="47">
        <f t="shared" si="2"/>
        <v>0</v>
      </c>
      <c r="CS16" s="48">
        <f t="shared" si="3"/>
        <v>0</v>
      </c>
    </row>
    <row r="17" spans="2:97" ht="26.25" thickBot="1" x14ac:dyDescent="0.3">
      <c r="B17" s="184"/>
      <c r="C17" s="37">
        <v>13</v>
      </c>
      <c r="D17" s="62"/>
      <c r="E17" s="62"/>
      <c r="F17" s="60"/>
      <c r="G17" s="61"/>
      <c r="H17" s="53" t="s">
        <v>163</v>
      </c>
      <c r="I17" s="53" t="s">
        <v>164</v>
      </c>
      <c r="J17" s="53" t="s">
        <v>165</v>
      </c>
      <c r="K17" s="53" t="s">
        <v>166</v>
      </c>
      <c r="L17" s="53" t="s">
        <v>167</v>
      </c>
      <c r="M17" s="58"/>
      <c r="N17" s="57"/>
      <c r="O17" s="57"/>
      <c r="P17" s="57"/>
      <c r="Q17" s="57"/>
      <c r="R17" s="57"/>
      <c r="S17" s="57"/>
      <c r="T17" s="57"/>
      <c r="U17" s="57"/>
      <c r="V17" s="57"/>
      <c r="W17" s="57"/>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57"/>
      <c r="AY17" s="57"/>
      <c r="AZ17" s="57"/>
      <c r="BA17" s="57"/>
      <c r="BB17" s="57"/>
      <c r="BC17" s="57"/>
      <c r="BD17" s="57"/>
      <c r="BE17" s="57"/>
      <c r="BF17" s="57"/>
      <c r="BG17" s="57"/>
      <c r="BH17" s="57"/>
      <c r="BI17" s="57"/>
      <c r="BJ17" s="57"/>
      <c r="BK17" s="57"/>
      <c r="BL17" s="57"/>
      <c r="BM17" s="57"/>
      <c r="BN17" s="57"/>
      <c r="BO17" s="57"/>
      <c r="BP17" s="57"/>
      <c r="BQ17" s="57"/>
      <c r="BR17" s="57"/>
      <c r="BS17" s="57"/>
      <c r="BT17" s="57"/>
      <c r="BU17" s="57"/>
      <c r="BV17" s="57"/>
      <c r="BW17" s="57"/>
      <c r="BX17" s="57"/>
      <c r="BY17" s="57"/>
      <c r="BZ17" s="57"/>
      <c r="CA17" s="57"/>
      <c r="CB17" s="57"/>
      <c r="CC17" s="57"/>
      <c r="CD17" s="57"/>
      <c r="CE17" s="57"/>
      <c r="CF17" s="57"/>
      <c r="CG17" s="57"/>
      <c r="CH17" s="57"/>
      <c r="CI17" s="57"/>
      <c r="CJ17" s="57"/>
      <c r="CK17" s="57"/>
      <c r="CL17" s="57"/>
      <c r="CM17" s="57"/>
      <c r="CN17" s="57"/>
      <c r="CO17" s="57"/>
      <c r="CP17" s="49">
        <f t="shared" si="0"/>
        <v>0</v>
      </c>
      <c r="CQ17" s="49">
        <f t="shared" si="1"/>
        <v>0</v>
      </c>
      <c r="CR17" s="47">
        <f t="shared" si="2"/>
        <v>0</v>
      </c>
      <c r="CS17" s="48">
        <f t="shared" si="3"/>
        <v>0</v>
      </c>
    </row>
    <row r="18" spans="2:97" ht="26.25" thickBot="1" x14ac:dyDescent="0.3">
      <c r="B18" s="184"/>
      <c r="C18" s="37">
        <v>14</v>
      </c>
      <c r="D18" s="62"/>
      <c r="E18" s="62"/>
      <c r="F18" s="60"/>
      <c r="G18" s="61"/>
      <c r="H18" s="53" t="s">
        <v>163</v>
      </c>
      <c r="I18" s="53" t="s">
        <v>164</v>
      </c>
      <c r="J18" s="53" t="s">
        <v>165</v>
      </c>
      <c r="K18" s="53" t="s">
        <v>166</v>
      </c>
      <c r="L18" s="53" t="s">
        <v>167</v>
      </c>
      <c r="M18" s="58"/>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7"/>
      <c r="AZ18" s="57"/>
      <c r="BA18" s="57"/>
      <c r="BB18" s="57"/>
      <c r="BC18" s="57"/>
      <c r="BD18" s="57"/>
      <c r="BE18" s="57"/>
      <c r="BF18" s="57"/>
      <c r="BG18" s="57"/>
      <c r="BH18" s="57"/>
      <c r="BI18" s="57"/>
      <c r="BJ18" s="57"/>
      <c r="BK18" s="57"/>
      <c r="BL18" s="57"/>
      <c r="BM18" s="57"/>
      <c r="BN18" s="57"/>
      <c r="BO18" s="57"/>
      <c r="BP18" s="57"/>
      <c r="BQ18" s="57"/>
      <c r="BR18" s="57"/>
      <c r="BS18" s="57"/>
      <c r="BT18" s="57"/>
      <c r="BU18" s="57"/>
      <c r="BV18" s="57"/>
      <c r="BW18" s="57"/>
      <c r="BX18" s="57"/>
      <c r="BY18" s="57"/>
      <c r="BZ18" s="57"/>
      <c r="CA18" s="57"/>
      <c r="CB18" s="57"/>
      <c r="CC18" s="57"/>
      <c r="CD18" s="57"/>
      <c r="CE18" s="57"/>
      <c r="CF18" s="57"/>
      <c r="CG18" s="57"/>
      <c r="CH18" s="57"/>
      <c r="CI18" s="57"/>
      <c r="CJ18" s="57"/>
      <c r="CK18" s="57"/>
      <c r="CL18" s="57"/>
      <c r="CM18" s="57"/>
      <c r="CN18" s="57"/>
      <c r="CO18" s="57"/>
      <c r="CP18" s="49">
        <f t="shared" si="0"/>
        <v>0</v>
      </c>
      <c r="CQ18" s="49">
        <f t="shared" si="1"/>
        <v>0</v>
      </c>
      <c r="CR18" s="47">
        <f t="shared" si="2"/>
        <v>0</v>
      </c>
      <c r="CS18" s="48">
        <f t="shared" si="3"/>
        <v>0</v>
      </c>
    </row>
    <row r="19" spans="2:97" ht="26.25" thickBot="1" x14ac:dyDescent="0.3">
      <c r="B19" s="184"/>
      <c r="C19" s="37">
        <v>15</v>
      </c>
      <c r="D19" s="62"/>
      <c r="E19" s="62"/>
      <c r="F19" s="60"/>
      <c r="G19" s="61"/>
      <c r="H19" s="53" t="s">
        <v>163</v>
      </c>
      <c r="I19" s="53" t="s">
        <v>164</v>
      </c>
      <c r="J19" s="53" t="s">
        <v>165</v>
      </c>
      <c r="K19" s="53" t="s">
        <v>166</v>
      </c>
      <c r="L19" s="53" t="s">
        <v>167</v>
      </c>
      <c r="M19" s="58"/>
      <c r="N19" s="57"/>
      <c r="O19" s="57"/>
      <c r="P19" s="57"/>
      <c r="Q19" s="57"/>
      <c r="R19" s="57"/>
      <c r="S19" s="57"/>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7"/>
      <c r="AS19" s="57"/>
      <c r="AT19" s="57"/>
      <c r="AU19" s="57"/>
      <c r="AV19" s="57"/>
      <c r="AW19" s="57"/>
      <c r="AX19" s="57"/>
      <c r="AY19" s="57"/>
      <c r="AZ19" s="57"/>
      <c r="BA19" s="57"/>
      <c r="BB19" s="57"/>
      <c r="BC19" s="57"/>
      <c r="BD19" s="57"/>
      <c r="BE19" s="57"/>
      <c r="BF19" s="57"/>
      <c r="BG19" s="57"/>
      <c r="BH19" s="57"/>
      <c r="BI19" s="57"/>
      <c r="BJ19" s="57"/>
      <c r="BK19" s="57"/>
      <c r="BL19" s="57"/>
      <c r="BM19" s="57"/>
      <c r="BN19" s="57"/>
      <c r="BO19" s="57"/>
      <c r="BP19" s="57"/>
      <c r="BQ19" s="57"/>
      <c r="BR19" s="57"/>
      <c r="BS19" s="57"/>
      <c r="BT19" s="57"/>
      <c r="BU19" s="57"/>
      <c r="BV19" s="57"/>
      <c r="BW19" s="57"/>
      <c r="BX19" s="57"/>
      <c r="BY19" s="57"/>
      <c r="BZ19" s="57"/>
      <c r="CA19" s="57"/>
      <c r="CB19" s="57"/>
      <c r="CC19" s="57"/>
      <c r="CD19" s="57"/>
      <c r="CE19" s="57"/>
      <c r="CF19" s="57"/>
      <c r="CG19" s="57"/>
      <c r="CH19" s="57"/>
      <c r="CI19" s="57"/>
      <c r="CJ19" s="57"/>
      <c r="CK19" s="57"/>
      <c r="CL19" s="57"/>
      <c r="CM19" s="57"/>
      <c r="CN19" s="57"/>
      <c r="CO19" s="57"/>
      <c r="CP19" s="49">
        <f t="shared" si="0"/>
        <v>0</v>
      </c>
      <c r="CQ19" s="49">
        <f t="shared" si="1"/>
        <v>0</v>
      </c>
      <c r="CR19" s="47">
        <f t="shared" si="2"/>
        <v>0</v>
      </c>
      <c r="CS19" s="48">
        <f t="shared" si="3"/>
        <v>0</v>
      </c>
    </row>
    <row r="20" spans="2:97" ht="26.25" thickBot="1" x14ac:dyDescent="0.3">
      <c r="B20" s="184"/>
      <c r="C20" s="37">
        <v>16</v>
      </c>
      <c r="D20" s="62"/>
      <c r="E20" s="62"/>
      <c r="F20" s="60"/>
      <c r="G20" s="61"/>
      <c r="H20" s="53" t="s">
        <v>163</v>
      </c>
      <c r="I20" s="53" t="s">
        <v>164</v>
      </c>
      <c r="J20" s="53" t="s">
        <v>165</v>
      </c>
      <c r="K20" s="53" t="s">
        <v>166</v>
      </c>
      <c r="L20" s="53" t="s">
        <v>167</v>
      </c>
      <c r="M20" s="58"/>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7"/>
      <c r="AZ20" s="57"/>
      <c r="BA20" s="57"/>
      <c r="BB20" s="57"/>
      <c r="BC20" s="57"/>
      <c r="BD20" s="57"/>
      <c r="BE20" s="57"/>
      <c r="BF20" s="57"/>
      <c r="BG20" s="57"/>
      <c r="BH20" s="57"/>
      <c r="BI20" s="57"/>
      <c r="BJ20" s="57"/>
      <c r="BK20" s="57"/>
      <c r="BL20" s="57"/>
      <c r="BM20" s="57"/>
      <c r="BN20" s="57"/>
      <c r="BO20" s="57"/>
      <c r="BP20" s="57"/>
      <c r="BQ20" s="57"/>
      <c r="BR20" s="57"/>
      <c r="BS20" s="57"/>
      <c r="BT20" s="57"/>
      <c r="BU20" s="57"/>
      <c r="BV20" s="57"/>
      <c r="BW20" s="57"/>
      <c r="BX20" s="57"/>
      <c r="BY20" s="57"/>
      <c r="BZ20" s="57"/>
      <c r="CA20" s="57"/>
      <c r="CB20" s="57"/>
      <c r="CC20" s="57"/>
      <c r="CD20" s="57"/>
      <c r="CE20" s="57"/>
      <c r="CF20" s="57"/>
      <c r="CG20" s="57"/>
      <c r="CH20" s="57"/>
      <c r="CI20" s="57"/>
      <c r="CJ20" s="57"/>
      <c r="CK20" s="57"/>
      <c r="CL20" s="57"/>
      <c r="CM20" s="57"/>
      <c r="CN20" s="57"/>
      <c r="CO20" s="57"/>
      <c r="CP20" s="49">
        <f t="shared" si="0"/>
        <v>0</v>
      </c>
      <c r="CQ20" s="49">
        <f t="shared" si="1"/>
        <v>0</v>
      </c>
      <c r="CR20" s="47">
        <f t="shared" si="2"/>
        <v>0</v>
      </c>
      <c r="CS20" s="48">
        <f t="shared" si="3"/>
        <v>0</v>
      </c>
    </row>
    <row r="21" spans="2:97" ht="26.25" thickBot="1" x14ac:dyDescent="0.3">
      <c r="B21" s="184"/>
      <c r="C21" s="37">
        <v>17</v>
      </c>
      <c r="D21" s="62"/>
      <c r="E21" s="62"/>
      <c r="F21" s="60"/>
      <c r="G21" s="61"/>
      <c r="H21" s="53" t="s">
        <v>163</v>
      </c>
      <c r="I21" s="53" t="s">
        <v>164</v>
      </c>
      <c r="J21" s="53" t="s">
        <v>165</v>
      </c>
      <c r="K21" s="53" t="s">
        <v>166</v>
      </c>
      <c r="L21" s="53" t="s">
        <v>167</v>
      </c>
      <c r="M21" s="58"/>
      <c r="N21" s="57"/>
      <c r="O21" s="57"/>
      <c r="P21" s="57"/>
      <c r="Q21" s="57"/>
      <c r="R21" s="57"/>
      <c r="S21" s="57"/>
      <c r="T21" s="57"/>
      <c r="U21" s="57"/>
      <c r="V21" s="57"/>
      <c r="W21" s="57"/>
      <c r="X21" s="57"/>
      <c r="Y21" s="57"/>
      <c r="Z21" s="57"/>
      <c r="AA21" s="57"/>
      <c r="AB21" s="57"/>
      <c r="AC21" s="57"/>
      <c r="AD21" s="57"/>
      <c r="AE21" s="57"/>
      <c r="AF21" s="57"/>
      <c r="AG21" s="57"/>
      <c r="AH21" s="57"/>
      <c r="AI21" s="57"/>
      <c r="AJ21" s="57"/>
      <c r="AK21" s="57"/>
      <c r="AL21" s="57"/>
      <c r="AM21" s="57"/>
      <c r="AN21" s="57"/>
      <c r="AO21" s="57"/>
      <c r="AP21" s="57"/>
      <c r="AQ21" s="57"/>
      <c r="AR21" s="57"/>
      <c r="AS21" s="57"/>
      <c r="AT21" s="57"/>
      <c r="AU21" s="57"/>
      <c r="AV21" s="57"/>
      <c r="AW21" s="57"/>
      <c r="AX21" s="57"/>
      <c r="AY21" s="57"/>
      <c r="AZ21" s="57"/>
      <c r="BA21" s="57"/>
      <c r="BB21" s="57"/>
      <c r="BC21" s="57"/>
      <c r="BD21" s="57"/>
      <c r="BE21" s="57"/>
      <c r="BF21" s="57"/>
      <c r="BG21" s="57"/>
      <c r="BH21" s="57"/>
      <c r="BI21" s="57"/>
      <c r="BJ21" s="57"/>
      <c r="BK21" s="57"/>
      <c r="BL21" s="57"/>
      <c r="BM21" s="57"/>
      <c r="BN21" s="57"/>
      <c r="BO21" s="57"/>
      <c r="BP21" s="57"/>
      <c r="BQ21" s="57"/>
      <c r="BR21" s="57"/>
      <c r="BS21" s="57"/>
      <c r="BT21" s="57"/>
      <c r="BU21" s="57"/>
      <c r="BV21" s="57"/>
      <c r="BW21" s="57"/>
      <c r="BX21" s="57"/>
      <c r="BY21" s="57"/>
      <c r="BZ21" s="57"/>
      <c r="CA21" s="57"/>
      <c r="CB21" s="57"/>
      <c r="CC21" s="57"/>
      <c r="CD21" s="57"/>
      <c r="CE21" s="57"/>
      <c r="CF21" s="57"/>
      <c r="CG21" s="57"/>
      <c r="CH21" s="57"/>
      <c r="CI21" s="57"/>
      <c r="CJ21" s="57"/>
      <c r="CK21" s="57"/>
      <c r="CL21" s="57"/>
      <c r="CM21" s="57"/>
      <c r="CN21" s="57"/>
      <c r="CO21" s="57"/>
      <c r="CP21" s="49">
        <f t="shared" si="0"/>
        <v>0</v>
      </c>
      <c r="CQ21" s="49">
        <f t="shared" si="1"/>
        <v>0</v>
      </c>
      <c r="CR21" s="47">
        <f t="shared" si="2"/>
        <v>0</v>
      </c>
      <c r="CS21" s="48">
        <f t="shared" si="3"/>
        <v>0</v>
      </c>
    </row>
    <row r="22" spans="2:97" ht="26.25" thickBot="1" x14ac:dyDescent="0.3">
      <c r="B22" s="184"/>
      <c r="C22" s="37">
        <v>18</v>
      </c>
      <c r="D22" s="62"/>
      <c r="E22" s="62"/>
      <c r="F22" s="60"/>
      <c r="G22" s="61"/>
      <c r="H22" s="53" t="s">
        <v>163</v>
      </c>
      <c r="I22" s="53" t="s">
        <v>164</v>
      </c>
      <c r="J22" s="53" t="s">
        <v>165</v>
      </c>
      <c r="K22" s="53" t="s">
        <v>166</v>
      </c>
      <c r="L22" s="53" t="s">
        <v>167</v>
      </c>
      <c r="M22" s="58"/>
      <c r="N22" s="57"/>
      <c r="O22" s="57"/>
      <c r="P22" s="57"/>
      <c r="Q22" s="57"/>
      <c r="R22" s="57"/>
      <c r="S22" s="57"/>
      <c r="T22" s="57"/>
      <c r="U22" s="57"/>
      <c r="V22" s="57"/>
      <c r="W22" s="57"/>
      <c r="X22" s="57"/>
      <c r="Y22" s="57"/>
      <c r="Z22" s="57"/>
      <c r="AA22" s="57"/>
      <c r="AB22" s="57"/>
      <c r="AC22" s="57"/>
      <c r="AD22" s="57"/>
      <c r="AE22" s="57"/>
      <c r="AF22" s="57"/>
      <c r="AG22" s="57"/>
      <c r="AH22" s="57"/>
      <c r="AI22" s="57"/>
      <c r="AJ22" s="57"/>
      <c r="AK22" s="57"/>
      <c r="AL22" s="57"/>
      <c r="AM22" s="57"/>
      <c r="AN22" s="57"/>
      <c r="AO22" s="57"/>
      <c r="AP22" s="57"/>
      <c r="AQ22" s="57"/>
      <c r="AR22" s="57"/>
      <c r="AS22" s="57"/>
      <c r="AT22" s="57"/>
      <c r="AU22" s="57"/>
      <c r="AV22" s="57"/>
      <c r="AW22" s="57"/>
      <c r="AX22" s="57"/>
      <c r="AY22" s="57"/>
      <c r="AZ22" s="57"/>
      <c r="BA22" s="57"/>
      <c r="BB22" s="57"/>
      <c r="BC22" s="57"/>
      <c r="BD22" s="57"/>
      <c r="BE22" s="57"/>
      <c r="BF22" s="57"/>
      <c r="BG22" s="57"/>
      <c r="BH22" s="57"/>
      <c r="BI22" s="57"/>
      <c r="BJ22" s="57"/>
      <c r="BK22" s="57"/>
      <c r="BL22" s="57"/>
      <c r="BM22" s="57"/>
      <c r="BN22" s="57"/>
      <c r="BO22" s="57"/>
      <c r="BP22" s="57"/>
      <c r="BQ22" s="57"/>
      <c r="BR22" s="57"/>
      <c r="BS22" s="57"/>
      <c r="BT22" s="57"/>
      <c r="BU22" s="57"/>
      <c r="BV22" s="57"/>
      <c r="BW22" s="57"/>
      <c r="BX22" s="57"/>
      <c r="BY22" s="57"/>
      <c r="BZ22" s="57"/>
      <c r="CA22" s="57"/>
      <c r="CB22" s="57"/>
      <c r="CC22" s="57"/>
      <c r="CD22" s="57"/>
      <c r="CE22" s="57"/>
      <c r="CF22" s="57"/>
      <c r="CG22" s="57"/>
      <c r="CH22" s="57"/>
      <c r="CI22" s="57"/>
      <c r="CJ22" s="57"/>
      <c r="CK22" s="57"/>
      <c r="CL22" s="57"/>
      <c r="CM22" s="57"/>
      <c r="CN22" s="57"/>
      <c r="CO22" s="57"/>
      <c r="CP22" s="49">
        <f t="shared" si="0"/>
        <v>0</v>
      </c>
      <c r="CQ22" s="49">
        <f t="shared" si="1"/>
        <v>0</v>
      </c>
      <c r="CR22" s="47">
        <f t="shared" si="2"/>
        <v>0</v>
      </c>
      <c r="CS22" s="48">
        <f t="shared" si="3"/>
        <v>0</v>
      </c>
    </row>
    <row r="23" spans="2:97" ht="26.25" thickBot="1" x14ac:dyDescent="0.3">
      <c r="B23" s="184"/>
      <c r="C23" s="37">
        <v>19</v>
      </c>
      <c r="D23" s="62"/>
      <c r="E23" s="62"/>
      <c r="F23" s="60"/>
      <c r="G23" s="61"/>
      <c r="H23" s="53" t="s">
        <v>163</v>
      </c>
      <c r="I23" s="53" t="s">
        <v>164</v>
      </c>
      <c r="J23" s="53" t="s">
        <v>165</v>
      </c>
      <c r="K23" s="53" t="s">
        <v>166</v>
      </c>
      <c r="L23" s="53" t="s">
        <v>167</v>
      </c>
      <c r="M23" s="58"/>
      <c r="N23" s="57"/>
      <c r="O23" s="57"/>
      <c r="P23" s="57"/>
      <c r="Q23" s="57"/>
      <c r="R23" s="57"/>
      <c r="S23" s="57"/>
      <c r="T23" s="57"/>
      <c r="U23" s="57"/>
      <c r="V23" s="57"/>
      <c r="W23" s="57"/>
      <c r="X23" s="57"/>
      <c r="Y23" s="57"/>
      <c r="Z23" s="57"/>
      <c r="AA23" s="57"/>
      <c r="AB23" s="57"/>
      <c r="AC23" s="57"/>
      <c r="AD23" s="57"/>
      <c r="AE23" s="57"/>
      <c r="AF23" s="57"/>
      <c r="AG23" s="57"/>
      <c r="AH23" s="57"/>
      <c r="AI23" s="57"/>
      <c r="AJ23" s="57"/>
      <c r="AK23" s="57"/>
      <c r="AL23" s="57"/>
      <c r="AM23" s="57"/>
      <c r="AN23" s="57"/>
      <c r="AO23" s="57"/>
      <c r="AP23" s="57"/>
      <c r="AQ23" s="57"/>
      <c r="AR23" s="57"/>
      <c r="AS23" s="57"/>
      <c r="AT23" s="57"/>
      <c r="AU23" s="57"/>
      <c r="AV23" s="57"/>
      <c r="AW23" s="57"/>
      <c r="AX23" s="57"/>
      <c r="AY23" s="57"/>
      <c r="AZ23" s="57"/>
      <c r="BA23" s="57"/>
      <c r="BB23" s="57"/>
      <c r="BC23" s="57"/>
      <c r="BD23" s="57"/>
      <c r="BE23" s="57"/>
      <c r="BF23" s="57"/>
      <c r="BG23" s="57"/>
      <c r="BH23" s="57"/>
      <c r="BI23" s="57"/>
      <c r="BJ23" s="57"/>
      <c r="BK23" s="57"/>
      <c r="BL23" s="57"/>
      <c r="BM23" s="57"/>
      <c r="BN23" s="57"/>
      <c r="BO23" s="57"/>
      <c r="BP23" s="57"/>
      <c r="BQ23" s="57"/>
      <c r="BR23" s="57"/>
      <c r="BS23" s="57"/>
      <c r="BT23" s="57"/>
      <c r="BU23" s="57"/>
      <c r="BV23" s="57"/>
      <c r="BW23" s="57"/>
      <c r="BX23" s="57"/>
      <c r="BY23" s="57"/>
      <c r="BZ23" s="57"/>
      <c r="CA23" s="57"/>
      <c r="CB23" s="57"/>
      <c r="CC23" s="57"/>
      <c r="CD23" s="57"/>
      <c r="CE23" s="57"/>
      <c r="CF23" s="57"/>
      <c r="CG23" s="57"/>
      <c r="CH23" s="57"/>
      <c r="CI23" s="57"/>
      <c r="CJ23" s="57"/>
      <c r="CK23" s="57"/>
      <c r="CL23" s="57"/>
      <c r="CM23" s="57"/>
      <c r="CN23" s="57"/>
      <c r="CO23" s="57"/>
      <c r="CP23" s="49">
        <f t="shared" si="0"/>
        <v>0</v>
      </c>
      <c r="CQ23" s="49">
        <f t="shared" si="1"/>
        <v>0</v>
      </c>
      <c r="CR23" s="47">
        <f t="shared" si="2"/>
        <v>0</v>
      </c>
      <c r="CS23" s="48">
        <f t="shared" si="3"/>
        <v>0</v>
      </c>
    </row>
    <row r="24" spans="2:97" ht="26.25" thickBot="1" x14ac:dyDescent="0.3">
      <c r="B24" s="184"/>
      <c r="C24" s="37">
        <v>20</v>
      </c>
      <c r="D24" s="62"/>
      <c r="E24" s="62"/>
      <c r="F24" s="60"/>
      <c r="G24" s="61"/>
      <c r="H24" s="53" t="s">
        <v>163</v>
      </c>
      <c r="I24" s="53" t="s">
        <v>164</v>
      </c>
      <c r="J24" s="53" t="s">
        <v>165</v>
      </c>
      <c r="K24" s="53" t="s">
        <v>166</v>
      </c>
      <c r="L24" s="53" t="s">
        <v>167</v>
      </c>
      <c r="M24" s="58"/>
      <c r="N24" s="57"/>
      <c r="O24" s="57"/>
      <c r="P24" s="57"/>
      <c r="Q24" s="57"/>
      <c r="R24" s="57"/>
      <c r="S24" s="57"/>
      <c r="T24" s="57"/>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7"/>
      <c r="AZ24" s="57"/>
      <c r="BA24" s="57"/>
      <c r="BB24" s="57"/>
      <c r="BC24" s="57"/>
      <c r="BD24" s="57"/>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7"/>
      <c r="CJ24" s="57"/>
      <c r="CK24" s="57"/>
      <c r="CL24" s="57"/>
      <c r="CM24" s="57"/>
      <c r="CN24" s="57"/>
      <c r="CO24" s="57"/>
      <c r="CP24" s="49">
        <f t="shared" si="0"/>
        <v>0</v>
      </c>
      <c r="CQ24" s="49">
        <f t="shared" si="1"/>
        <v>0</v>
      </c>
      <c r="CR24" s="47">
        <f t="shared" si="2"/>
        <v>0</v>
      </c>
      <c r="CS24" s="48">
        <f t="shared" si="3"/>
        <v>0</v>
      </c>
    </row>
    <row r="25" spans="2:97" ht="26.25" thickBot="1" x14ac:dyDescent="0.3">
      <c r="B25" s="184"/>
      <c r="C25" s="37">
        <v>21</v>
      </c>
      <c r="D25" s="62"/>
      <c r="E25" s="62"/>
      <c r="F25" s="60"/>
      <c r="G25" s="61"/>
      <c r="H25" s="53" t="s">
        <v>163</v>
      </c>
      <c r="I25" s="53" t="s">
        <v>164</v>
      </c>
      <c r="J25" s="53" t="s">
        <v>165</v>
      </c>
      <c r="K25" s="53" t="s">
        <v>166</v>
      </c>
      <c r="L25" s="53" t="s">
        <v>167</v>
      </c>
      <c r="M25" s="58"/>
      <c r="N25" s="57"/>
      <c r="O25" s="57"/>
      <c r="P25" s="57"/>
      <c r="Q25" s="57"/>
      <c r="R25" s="57"/>
      <c r="S25" s="57"/>
      <c r="T25" s="57"/>
      <c r="U25" s="57"/>
      <c r="V25" s="57"/>
      <c r="W25" s="57"/>
      <c r="X25" s="57"/>
      <c r="Y25" s="57"/>
      <c r="Z25" s="57"/>
      <c r="AA25" s="57"/>
      <c r="AB25" s="57"/>
      <c r="AC25" s="57"/>
      <c r="AD25" s="57"/>
      <c r="AE25" s="57"/>
      <c r="AF25" s="57"/>
      <c r="AG25" s="57"/>
      <c r="AH25" s="57"/>
      <c r="AI25" s="57"/>
      <c r="AJ25" s="57"/>
      <c r="AK25" s="57"/>
      <c r="AL25" s="57"/>
      <c r="AM25" s="57"/>
      <c r="AN25" s="57"/>
      <c r="AO25" s="57"/>
      <c r="AP25" s="57"/>
      <c r="AQ25" s="57"/>
      <c r="AR25" s="57"/>
      <c r="AS25" s="57"/>
      <c r="AT25" s="57"/>
      <c r="AU25" s="57"/>
      <c r="AV25" s="57"/>
      <c r="AW25" s="57"/>
      <c r="AX25" s="57"/>
      <c r="AY25" s="57"/>
      <c r="AZ25" s="57"/>
      <c r="BA25" s="57"/>
      <c r="BB25" s="57"/>
      <c r="BC25" s="57"/>
      <c r="BD25" s="57"/>
      <c r="BE25" s="57"/>
      <c r="BF25" s="57"/>
      <c r="BG25" s="57"/>
      <c r="BH25" s="57"/>
      <c r="BI25" s="57"/>
      <c r="BJ25" s="57"/>
      <c r="BK25" s="57"/>
      <c r="BL25" s="57"/>
      <c r="BM25" s="57"/>
      <c r="BN25" s="57"/>
      <c r="BO25" s="57"/>
      <c r="BP25" s="57"/>
      <c r="BQ25" s="57"/>
      <c r="BR25" s="57"/>
      <c r="BS25" s="57"/>
      <c r="BT25" s="57"/>
      <c r="BU25" s="57"/>
      <c r="BV25" s="57"/>
      <c r="BW25" s="57"/>
      <c r="BX25" s="57"/>
      <c r="BY25" s="57"/>
      <c r="BZ25" s="57"/>
      <c r="CA25" s="57"/>
      <c r="CB25" s="57"/>
      <c r="CC25" s="57"/>
      <c r="CD25" s="57"/>
      <c r="CE25" s="57"/>
      <c r="CF25" s="57"/>
      <c r="CG25" s="57"/>
      <c r="CH25" s="57"/>
      <c r="CI25" s="57"/>
      <c r="CJ25" s="57"/>
      <c r="CK25" s="57"/>
      <c r="CL25" s="57"/>
      <c r="CM25" s="57"/>
      <c r="CN25" s="57"/>
      <c r="CO25" s="57"/>
      <c r="CP25" s="49">
        <f t="shared" si="0"/>
        <v>0</v>
      </c>
      <c r="CQ25" s="49">
        <f t="shared" si="1"/>
        <v>0</v>
      </c>
      <c r="CR25" s="47">
        <f t="shared" si="2"/>
        <v>0</v>
      </c>
      <c r="CS25" s="48">
        <f t="shared" si="3"/>
        <v>0</v>
      </c>
    </row>
    <row r="26" spans="2:97" ht="26.25" thickBot="1" x14ac:dyDescent="0.3">
      <c r="B26" s="184"/>
      <c r="C26" s="37">
        <v>22</v>
      </c>
      <c r="D26" s="62"/>
      <c r="E26" s="62"/>
      <c r="F26" s="60"/>
      <c r="G26" s="61"/>
      <c r="H26" s="53" t="s">
        <v>163</v>
      </c>
      <c r="I26" s="53" t="s">
        <v>164</v>
      </c>
      <c r="J26" s="53" t="s">
        <v>165</v>
      </c>
      <c r="K26" s="53" t="s">
        <v>166</v>
      </c>
      <c r="L26" s="53" t="s">
        <v>167</v>
      </c>
      <c r="M26" s="58"/>
      <c r="N26" s="57"/>
      <c r="O26" s="57"/>
      <c r="P26" s="57"/>
      <c r="Q26" s="57"/>
      <c r="R26" s="57"/>
      <c r="S26" s="57"/>
      <c r="T26" s="57"/>
      <c r="U26" s="57"/>
      <c r="V26" s="57"/>
      <c r="W26" s="57"/>
      <c r="X26" s="57"/>
      <c r="Y26" s="57"/>
      <c r="Z26" s="57"/>
      <c r="AA26" s="57"/>
      <c r="AB26" s="57"/>
      <c r="AC26" s="57"/>
      <c r="AD26" s="57"/>
      <c r="AE26" s="57"/>
      <c r="AF26" s="57"/>
      <c r="AG26" s="57"/>
      <c r="AH26" s="57"/>
      <c r="AI26" s="57"/>
      <c r="AJ26" s="57"/>
      <c r="AK26" s="57"/>
      <c r="AL26" s="57"/>
      <c r="AM26" s="57"/>
      <c r="AN26" s="57"/>
      <c r="AO26" s="57"/>
      <c r="AP26" s="57"/>
      <c r="AQ26" s="57"/>
      <c r="AR26" s="57"/>
      <c r="AS26" s="57"/>
      <c r="AT26" s="57"/>
      <c r="AU26" s="57"/>
      <c r="AV26" s="57"/>
      <c r="AW26" s="57"/>
      <c r="AX26" s="57"/>
      <c r="AY26" s="57"/>
      <c r="AZ26" s="57"/>
      <c r="BA26" s="57"/>
      <c r="BB26" s="57"/>
      <c r="BC26" s="57"/>
      <c r="BD26" s="57"/>
      <c r="BE26" s="57"/>
      <c r="BF26" s="57"/>
      <c r="BG26" s="57"/>
      <c r="BH26" s="57"/>
      <c r="BI26" s="57"/>
      <c r="BJ26" s="57"/>
      <c r="BK26" s="57"/>
      <c r="BL26" s="57"/>
      <c r="BM26" s="57"/>
      <c r="BN26" s="57"/>
      <c r="BO26" s="57"/>
      <c r="BP26" s="57"/>
      <c r="BQ26" s="57"/>
      <c r="BR26" s="57"/>
      <c r="BS26" s="57"/>
      <c r="BT26" s="57"/>
      <c r="BU26" s="57"/>
      <c r="BV26" s="57"/>
      <c r="BW26" s="57"/>
      <c r="BX26" s="57"/>
      <c r="BY26" s="57"/>
      <c r="BZ26" s="57"/>
      <c r="CA26" s="57"/>
      <c r="CB26" s="57"/>
      <c r="CC26" s="57"/>
      <c r="CD26" s="57"/>
      <c r="CE26" s="57"/>
      <c r="CF26" s="57"/>
      <c r="CG26" s="57"/>
      <c r="CH26" s="57"/>
      <c r="CI26" s="57"/>
      <c r="CJ26" s="57"/>
      <c r="CK26" s="57"/>
      <c r="CL26" s="57"/>
      <c r="CM26" s="57"/>
      <c r="CN26" s="57"/>
      <c r="CO26" s="57"/>
      <c r="CP26" s="49">
        <f t="shared" si="0"/>
        <v>0</v>
      </c>
      <c r="CQ26" s="49">
        <f t="shared" si="1"/>
        <v>0</v>
      </c>
      <c r="CR26" s="47">
        <f t="shared" si="2"/>
        <v>0</v>
      </c>
      <c r="CS26" s="48">
        <f t="shared" si="3"/>
        <v>0</v>
      </c>
    </row>
    <row r="27" spans="2:97" ht="26.25" thickBot="1" x14ac:dyDescent="0.3">
      <c r="B27" s="184"/>
      <c r="C27" s="37">
        <v>23</v>
      </c>
      <c r="D27" s="62"/>
      <c r="E27" s="62"/>
      <c r="F27" s="60"/>
      <c r="G27" s="61"/>
      <c r="H27" s="53" t="s">
        <v>163</v>
      </c>
      <c r="I27" s="53" t="s">
        <v>164</v>
      </c>
      <c r="J27" s="53" t="s">
        <v>165</v>
      </c>
      <c r="K27" s="53" t="s">
        <v>166</v>
      </c>
      <c r="L27" s="53" t="s">
        <v>167</v>
      </c>
      <c r="M27" s="58"/>
      <c r="N27" s="57"/>
      <c r="O27" s="57"/>
      <c r="P27" s="57"/>
      <c r="Q27" s="57"/>
      <c r="R27" s="57"/>
      <c r="S27" s="57"/>
      <c r="T27" s="57"/>
      <c r="U27" s="57"/>
      <c r="V27" s="57"/>
      <c r="W27" s="57"/>
      <c r="X27" s="57"/>
      <c r="Y27" s="57"/>
      <c r="Z27" s="57"/>
      <c r="AA27" s="57"/>
      <c r="AB27" s="57"/>
      <c r="AC27" s="57"/>
      <c r="AD27" s="57"/>
      <c r="AE27" s="57"/>
      <c r="AF27" s="57"/>
      <c r="AG27" s="57"/>
      <c r="AH27" s="57"/>
      <c r="AI27" s="57"/>
      <c r="AJ27" s="57"/>
      <c r="AK27" s="57"/>
      <c r="AL27" s="57"/>
      <c r="AM27" s="57"/>
      <c r="AN27" s="57"/>
      <c r="AO27" s="57"/>
      <c r="AP27" s="57"/>
      <c r="AQ27" s="57"/>
      <c r="AR27" s="57"/>
      <c r="AS27" s="57"/>
      <c r="AT27" s="57"/>
      <c r="AU27" s="57"/>
      <c r="AV27" s="57"/>
      <c r="AW27" s="57"/>
      <c r="AX27" s="57"/>
      <c r="AY27" s="57"/>
      <c r="AZ27" s="57"/>
      <c r="BA27" s="57"/>
      <c r="BB27" s="57"/>
      <c r="BC27" s="57"/>
      <c r="BD27" s="57"/>
      <c r="BE27" s="57"/>
      <c r="BF27" s="57"/>
      <c r="BG27" s="57"/>
      <c r="BH27" s="57"/>
      <c r="BI27" s="57"/>
      <c r="BJ27" s="57"/>
      <c r="BK27" s="57"/>
      <c r="BL27" s="57"/>
      <c r="BM27" s="57"/>
      <c r="BN27" s="57"/>
      <c r="BO27" s="57"/>
      <c r="BP27" s="57"/>
      <c r="BQ27" s="57"/>
      <c r="BR27" s="57"/>
      <c r="BS27" s="57"/>
      <c r="BT27" s="57"/>
      <c r="BU27" s="57"/>
      <c r="BV27" s="57"/>
      <c r="BW27" s="57"/>
      <c r="BX27" s="57"/>
      <c r="BY27" s="57"/>
      <c r="BZ27" s="57"/>
      <c r="CA27" s="57"/>
      <c r="CB27" s="57"/>
      <c r="CC27" s="57"/>
      <c r="CD27" s="57"/>
      <c r="CE27" s="57"/>
      <c r="CF27" s="57"/>
      <c r="CG27" s="57"/>
      <c r="CH27" s="57"/>
      <c r="CI27" s="57"/>
      <c r="CJ27" s="57"/>
      <c r="CK27" s="57"/>
      <c r="CL27" s="57"/>
      <c r="CM27" s="57"/>
      <c r="CN27" s="57"/>
      <c r="CO27" s="57"/>
      <c r="CP27" s="49">
        <f t="shared" si="0"/>
        <v>0</v>
      </c>
      <c r="CQ27" s="49">
        <f t="shared" si="1"/>
        <v>0</v>
      </c>
      <c r="CR27" s="47">
        <f t="shared" si="2"/>
        <v>0</v>
      </c>
      <c r="CS27" s="48">
        <f t="shared" si="3"/>
        <v>0</v>
      </c>
    </row>
    <row r="28" spans="2:97" ht="26.25" thickBot="1" x14ac:dyDescent="0.3">
      <c r="B28" s="184"/>
      <c r="C28" s="37">
        <v>24</v>
      </c>
      <c r="D28" s="62"/>
      <c r="E28" s="62"/>
      <c r="F28" s="60"/>
      <c r="G28" s="61"/>
      <c r="H28" s="53" t="s">
        <v>163</v>
      </c>
      <c r="I28" s="53" t="s">
        <v>164</v>
      </c>
      <c r="J28" s="53" t="s">
        <v>165</v>
      </c>
      <c r="K28" s="53" t="s">
        <v>166</v>
      </c>
      <c r="L28" s="53" t="s">
        <v>167</v>
      </c>
      <c r="M28" s="58"/>
      <c r="N28" s="57"/>
      <c r="O28" s="57"/>
      <c r="P28" s="57"/>
      <c r="Q28" s="57"/>
      <c r="R28" s="57"/>
      <c r="S28" s="57"/>
      <c r="T28" s="57"/>
      <c r="U28" s="57"/>
      <c r="V28" s="57"/>
      <c r="W28" s="57"/>
      <c r="X28" s="57"/>
      <c r="Y28" s="57"/>
      <c r="Z28" s="57"/>
      <c r="AA28" s="57"/>
      <c r="AB28" s="57"/>
      <c r="AC28" s="57"/>
      <c r="AD28" s="57"/>
      <c r="AE28" s="57"/>
      <c r="AF28" s="57"/>
      <c r="AG28" s="57"/>
      <c r="AH28" s="57"/>
      <c r="AI28" s="57"/>
      <c r="AJ28" s="57"/>
      <c r="AK28" s="57"/>
      <c r="AL28" s="57"/>
      <c r="AM28" s="57"/>
      <c r="AN28" s="57"/>
      <c r="AO28" s="57"/>
      <c r="AP28" s="57"/>
      <c r="AQ28" s="57"/>
      <c r="AR28" s="57"/>
      <c r="AS28" s="57"/>
      <c r="AT28" s="57"/>
      <c r="AU28" s="57"/>
      <c r="AV28" s="57"/>
      <c r="AW28" s="57"/>
      <c r="AX28" s="57"/>
      <c r="AY28" s="57"/>
      <c r="AZ28" s="57"/>
      <c r="BA28" s="57"/>
      <c r="BB28" s="57"/>
      <c r="BC28" s="57"/>
      <c r="BD28" s="57"/>
      <c r="BE28" s="57"/>
      <c r="BF28" s="57"/>
      <c r="BG28" s="57"/>
      <c r="BH28" s="57"/>
      <c r="BI28" s="57"/>
      <c r="BJ28" s="57"/>
      <c r="BK28" s="57"/>
      <c r="BL28" s="57"/>
      <c r="BM28" s="57"/>
      <c r="BN28" s="57"/>
      <c r="BO28" s="57"/>
      <c r="BP28" s="57"/>
      <c r="BQ28" s="57"/>
      <c r="BR28" s="57"/>
      <c r="BS28" s="57"/>
      <c r="BT28" s="57"/>
      <c r="BU28" s="57"/>
      <c r="BV28" s="57"/>
      <c r="BW28" s="57"/>
      <c r="BX28" s="57"/>
      <c r="BY28" s="57"/>
      <c r="BZ28" s="57"/>
      <c r="CA28" s="57"/>
      <c r="CB28" s="57"/>
      <c r="CC28" s="57"/>
      <c r="CD28" s="57"/>
      <c r="CE28" s="57"/>
      <c r="CF28" s="57"/>
      <c r="CG28" s="57"/>
      <c r="CH28" s="57"/>
      <c r="CI28" s="57"/>
      <c r="CJ28" s="57"/>
      <c r="CK28" s="57"/>
      <c r="CL28" s="57"/>
      <c r="CM28" s="57"/>
      <c r="CN28" s="57"/>
      <c r="CO28" s="57"/>
      <c r="CP28" s="49">
        <f t="shared" si="0"/>
        <v>0</v>
      </c>
      <c r="CQ28" s="49">
        <f t="shared" si="1"/>
        <v>0</v>
      </c>
      <c r="CR28" s="47">
        <f t="shared" si="2"/>
        <v>0</v>
      </c>
      <c r="CS28" s="48">
        <f t="shared" si="3"/>
        <v>0</v>
      </c>
    </row>
    <row r="29" spans="2:97" ht="26.25" thickBot="1" x14ac:dyDescent="0.3">
      <c r="B29" s="184"/>
      <c r="C29" s="37">
        <v>25</v>
      </c>
      <c r="D29" s="62"/>
      <c r="E29" s="62"/>
      <c r="F29" s="60"/>
      <c r="G29" s="61"/>
      <c r="H29" s="53" t="s">
        <v>163</v>
      </c>
      <c r="I29" s="53" t="s">
        <v>164</v>
      </c>
      <c r="J29" s="53" t="s">
        <v>165</v>
      </c>
      <c r="K29" s="53" t="s">
        <v>166</v>
      </c>
      <c r="L29" s="53" t="s">
        <v>167</v>
      </c>
      <c r="M29" s="58"/>
      <c r="N29" s="57"/>
      <c r="O29" s="57"/>
      <c r="P29" s="57"/>
      <c r="Q29" s="57"/>
      <c r="R29" s="57"/>
      <c r="S29" s="57"/>
      <c r="T29" s="57"/>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7"/>
      <c r="AZ29" s="57"/>
      <c r="BA29" s="57"/>
      <c r="BB29" s="57"/>
      <c r="BC29" s="57"/>
      <c r="BD29" s="57"/>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7"/>
      <c r="CJ29" s="57"/>
      <c r="CK29" s="57"/>
      <c r="CL29" s="57"/>
      <c r="CM29" s="57"/>
      <c r="CN29" s="57"/>
      <c r="CO29" s="57"/>
      <c r="CP29" s="49">
        <f t="shared" si="0"/>
        <v>0</v>
      </c>
      <c r="CQ29" s="49">
        <f t="shared" si="1"/>
        <v>0</v>
      </c>
      <c r="CR29" s="47">
        <f t="shared" si="2"/>
        <v>0</v>
      </c>
      <c r="CS29" s="48">
        <f t="shared" si="3"/>
        <v>0</v>
      </c>
    </row>
    <row r="30" spans="2:97" ht="26.25" thickBot="1" x14ac:dyDescent="0.3">
      <c r="B30" s="184"/>
      <c r="C30" s="37">
        <v>26</v>
      </c>
      <c r="D30" s="62"/>
      <c r="E30" s="62"/>
      <c r="F30" s="60"/>
      <c r="G30" s="61"/>
      <c r="H30" s="53" t="s">
        <v>163</v>
      </c>
      <c r="I30" s="53" t="s">
        <v>164</v>
      </c>
      <c r="J30" s="53" t="s">
        <v>165</v>
      </c>
      <c r="K30" s="53" t="s">
        <v>166</v>
      </c>
      <c r="L30" s="53" t="s">
        <v>167</v>
      </c>
      <c r="M30" s="58"/>
      <c r="N30" s="57"/>
      <c r="O30" s="57"/>
      <c r="P30" s="57"/>
      <c r="Q30" s="57"/>
      <c r="R30" s="57"/>
      <c r="S30" s="57"/>
      <c r="T30" s="57"/>
      <c r="U30" s="57"/>
      <c r="V30" s="57"/>
      <c r="W30" s="57"/>
      <c r="X30" s="57"/>
      <c r="Y30" s="57"/>
      <c r="Z30" s="57"/>
      <c r="AA30" s="57"/>
      <c r="AB30" s="57"/>
      <c r="AC30" s="57"/>
      <c r="AD30" s="57"/>
      <c r="AE30" s="57"/>
      <c r="AF30" s="57"/>
      <c r="AG30" s="57"/>
      <c r="AH30" s="57"/>
      <c r="AI30" s="57"/>
      <c r="AJ30" s="57"/>
      <c r="AK30" s="57"/>
      <c r="AL30" s="57"/>
      <c r="AM30" s="57"/>
      <c r="AN30" s="57"/>
      <c r="AO30" s="57"/>
      <c r="AP30" s="57"/>
      <c r="AQ30" s="57"/>
      <c r="AR30" s="57"/>
      <c r="AS30" s="57"/>
      <c r="AT30" s="57"/>
      <c r="AU30" s="57"/>
      <c r="AV30" s="57"/>
      <c r="AW30" s="57"/>
      <c r="AX30" s="57"/>
      <c r="AY30" s="57"/>
      <c r="AZ30" s="57"/>
      <c r="BA30" s="57"/>
      <c r="BB30" s="57"/>
      <c r="BC30" s="57"/>
      <c r="BD30" s="57"/>
      <c r="BE30" s="57"/>
      <c r="BF30" s="57"/>
      <c r="BG30" s="57"/>
      <c r="BH30" s="57"/>
      <c r="BI30" s="57"/>
      <c r="BJ30" s="57"/>
      <c r="BK30" s="57"/>
      <c r="BL30" s="57"/>
      <c r="BM30" s="57"/>
      <c r="BN30" s="57"/>
      <c r="BO30" s="57"/>
      <c r="BP30" s="57"/>
      <c r="BQ30" s="57"/>
      <c r="BR30" s="57"/>
      <c r="BS30" s="57"/>
      <c r="BT30" s="57"/>
      <c r="BU30" s="57"/>
      <c r="BV30" s="57"/>
      <c r="BW30" s="57"/>
      <c r="BX30" s="57"/>
      <c r="BY30" s="57"/>
      <c r="BZ30" s="57"/>
      <c r="CA30" s="57"/>
      <c r="CB30" s="57"/>
      <c r="CC30" s="57"/>
      <c r="CD30" s="57"/>
      <c r="CE30" s="57"/>
      <c r="CF30" s="57"/>
      <c r="CG30" s="57"/>
      <c r="CH30" s="57"/>
      <c r="CI30" s="57"/>
      <c r="CJ30" s="57"/>
      <c r="CK30" s="57"/>
      <c r="CL30" s="57"/>
      <c r="CM30" s="57"/>
      <c r="CN30" s="57"/>
      <c r="CO30" s="57"/>
      <c r="CP30" s="49">
        <f t="shared" si="0"/>
        <v>0</v>
      </c>
      <c r="CQ30" s="49">
        <f t="shared" si="1"/>
        <v>0</v>
      </c>
      <c r="CR30" s="47">
        <f t="shared" si="2"/>
        <v>0</v>
      </c>
      <c r="CS30" s="48">
        <f t="shared" si="3"/>
        <v>0</v>
      </c>
    </row>
    <row r="31" spans="2:97" ht="26.25" thickBot="1" x14ac:dyDescent="0.3">
      <c r="B31" s="184"/>
      <c r="C31" s="37">
        <v>27</v>
      </c>
      <c r="D31" s="62"/>
      <c r="E31" s="62"/>
      <c r="F31" s="60"/>
      <c r="G31" s="61"/>
      <c r="H31" s="53" t="s">
        <v>163</v>
      </c>
      <c r="I31" s="53" t="s">
        <v>164</v>
      </c>
      <c r="J31" s="53" t="s">
        <v>165</v>
      </c>
      <c r="K31" s="53" t="s">
        <v>166</v>
      </c>
      <c r="L31" s="53" t="s">
        <v>167</v>
      </c>
      <c r="M31" s="58"/>
      <c r="N31" s="57"/>
      <c r="O31" s="57"/>
      <c r="P31" s="57"/>
      <c r="Q31" s="57"/>
      <c r="R31" s="57"/>
      <c r="S31" s="57"/>
      <c r="T31" s="57"/>
      <c r="U31" s="57"/>
      <c r="V31" s="57"/>
      <c r="W31" s="57"/>
      <c r="X31" s="57"/>
      <c r="Y31" s="57"/>
      <c r="Z31" s="57"/>
      <c r="AA31" s="57"/>
      <c r="AB31" s="57"/>
      <c r="AC31" s="57"/>
      <c r="AD31" s="57"/>
      <c r="AE31" s="57"/>
      <c r="AF31" s="57"/>
      <c r="AG31" s="57"/>
      <c r="AH31" s="57"/>
      <c r="AI31" s="57"/>
      <c r="AJ31" s="57"/>
      <c r="AK31" s="57"/>
      <c r="AL31" s="57"/>
      <c r="AM31" s="57"/>
      <c r="AN31" s="57"/>
      <c r="AO31" s="57"/>
      <c r="AP31" s="57"/>
      <c r="AQ31" s="57"/>
      <c r="AR31" s="57"/>
      <c r="AS31" s="57"/>
      <c r="AT31" s="57"/>
      <c r="AU31" s="57"/>
      <c r="AV31" s="57"/>
      <c r="AW31" s="57"/>
      <c r="AX31" s="57"/>
      <c r="AY31" s="57"/>
      <c r="AZ31" s="57"/>
      <c r="BA31" s="57"/>
      <c r="BB31" s="57"/>
      <c r="BC31" s="57"/>
      <c r="BD31" s="57"/>
      <c r="BE31" s="57"/>
      <c r="BF31" s="57"/>
      <c r="BG31" s="57"/>
      <c r="BH31" s="57"/>
      <c r="BI31" s="57"/>
      <c r="BJ31" s="57"/>
      <c r="BK31" s="57"/>
      <c r="BL31" s="57"/>
      <c r="BM31" s="57"/>
      <c r="BN31" s="57"/>
      <c r="BO31" s="57"/>
      <c r="BP31" s="57"/>
      <c r="BQ31" s="57"/>
      <c r="BR31" s="57"/>
      <c r="BS31" s="57"/>
      <c r="BT31" s="57"/>
      <c r="BU31" s="57"/>
      <c r="BV31" s="57"/>
      <c r="BW31" s="57"/>
      <c r="BX31" s="57"/>
      <c r="BY31" s="57"/>
      <c r="BZ31" s="57"/>
      <c r="CA31" s="57"/>
      <c r="CB31" s="57"/>
      <c r="CC31" s="57"/>
      <c r="CD31" s="57"/>
      <c r="CE31" s="57"/>
      <c r="CF31" s="57"/>
      <c r="CG31" s="57"/>
      <c r="CH31" s="57"/>
      <c r="CI31" s="57"/>
      <c r="CJ31" s="57"/>
      <c r="CK31" s="57"/>
      <c r="CL31" s="57"/>
      <c r="CM31" s="57"/>
      <c r="CN31" s="57"/>
      <c r="CO31" s="57"/>
      <c r="CP31" s="49">
        <f t="shared" si="0"/>
        <v>0</v>
      </c>
      <c r="CQ31" s="49">
        <f t="shared" si="1"/>
        <v>0</v>
      </c>
      <c r="CR31" s="47">
        <f t="shared" si="2"/>
        <v>0</v>
      </c>
      <c r="CS31" s="48">
        <f t="shared" si="3"/>
        <v>0</v>
      </c>
    </row>
    <row r="32" spans="2:97" ht="26.25" thickBot="1" x14ac:dyDescent="0.3">
      <c r="B32" s="184"/>
      <c r="C32" s="37">
        <v>28</v>
      </c>
      <c r="D32" s="62"/>
      <c r="E32" s="62"/>
      <c r="F32" s="60"/>
      <c r="G32" s="61"/>
      <c r="H32" s="53" t="s">
        <v>163</v>
      </c>
      <c r="I32" s="53" t="s">
        <v>164</v>
      </c>
      <c r="J32" s="53" t="s">
        <v>165</v>
      </c>
      <c r="K32" s="53" t="s">
        <v>166</v>
      </c>
      <c r="L32" s="53" t="s">
        <v>167</v>
      </c>
      <c r="M32" s="58"/>
      <c r="N32" s="57"/>
      <c r="O32" s="57"/>
      <c r="P32" s="57"/>
      <c r="Q32" s="57"/>
      <c r="R32" s="57"/>
      <c r="S32" s="57"/>
      <c r="T32" s="57"/>
      <c r="U32" s="57"/>
      <c r="V32" s="57"/>
      <c r="W32" s="57"/>
      <c r="X32" s="57"/>
      <c r="Y32" s="57"/>
      <c r="Z32" s="57"/>
      <c r="AA32" s="57"/>
      <c r="AB32" s="57"/>
      <c r="AC32" s="57"/>
      <c r="AD32" s="57"/>
      <c r="AE32" s="57"/>
      <c r="AF32" s="57"/>
      <c r="AG32" s="57"/>
      <c r="AH32" s="57"/>
      <c r="AI32" s="57"/>
      <c r="AJ32" s="57"/>
      <c r="AK32" s="57"/>
      <c r="AL32" s="57"/>
      <c r="AM32" s="57"/>
      <c r="AN32" s="57"/>
      <c r="AO32" s="57"/>
      <c r="AP32" s="57"/>
      <c r="AQ32" s="57"/>
      <c r="AR32" s="57"/>
      <c r="AS32" s="57"/>
      <c r="AT32" s="57"/>
      <c r="AU32" s="57"/>
      <c r="AV32" s="57"/>
      <c r="AW32" s="57"/>
      <c r="AX32" s="57"/>
      <c r="AY32" s="57"/>
      <c r="AZ32" s="57"/>
      <c r="BA32" s="57"/>
      <c r="BB32" s="57"/>
      <c r="BC32" s="57"/>
      <c r="BD32" s="57"/>
      <c r="BE32" s="57"/>
      <c r="BF32" s="57"/>
      <c r="BG32" s="57"/>
      <c r="BH32" s="57"/>
      <c r="BI32" s="57"/>
      <c r="BJ32" s="57"/>
      <c r="BK32" s="57"/>
      <c r="BL32" s="57"/>
      <c r="BM32" s="57"/>
      <c r="BN32" s="57"/>
      <c r="BO32" s="57"/>
      <c r="BP32" s="57"/>
      <c r="BQ32" s="57"/>
      <c r="BR32" s="57"/>
      <c r="BS32" s="57"/>
      <c r="BT32" s="57"/>
      <c r="BU32" s="57"/>
      <c r="BV32" s="57"/>
      <c r="BW32" s="57"/>
      <c r="BX32" s="57"/>
      <c r="BY32" s="57"/>
      <c r="BZ32" s="57"/>
      <c r="CA32" s="57"/>
      <c r="CB32" s="57"/>
      <c r="CC32" s="57"/>
      <c r="CD32" s="57"/>
      <c r="CE32" s="57"/>
      <c r="CF32" s="57"/>
      <c r="CG32" s="57"/>
      <c r="CH32" s="57"/>
      <c r="CI32" s="57"/>
      <c r="CJ32" s="57"/>
      <c r="CK32" s="57"/>
      <c r="CL32" s="57"/>
      <c r="CM32" s="57"/>
      <c r="CN32" s="57"/>
      <c r="CO32" s="57"/>
      <c r="CP32" s="49">
        <f t="shared" si="0"/>
        <v>0</v>
      </c>
      <c r="CQ32" s="49">
        <f t="shared" si="1"/>
        <v>0</v>
      </c>
      <c r="CR32" s="47">
        <f t="shared" si="2"/>
        <v>0</v>
      </c>
      <c r="CS32" s="48">
        <f t="shared" si="3"/>
        <v>0</v>
      </c>
    </row>
    <row r="33" spans="2:97" ht="26.25" thickBot="1" x14ac:dyDescent="0.3">
      <c r="B33" s="184"/>
      <c r="C33" s="37">
        <v>29</v>
      </c>
      <c r="D33" s="62"/>
      <c r="E33" s="62"/>
      <c r="F33" s="60"/>
      <c r="G33" s="61"/>
      <c r="H33" s="53" t="s">
        <v>163</v>
      </c>
      <c r="I33" s="53" t="s">
        <v>164</v>
      </c>
      <c r="J33" s="53" t="s">
        <v>165</v>
      </c>
      <c r="K33" s="53" t="s">
        <v>166</v>
      </c>
      <c r="L33" s="53" t="s">
        <v>167</v>
      </c>
      <c r="M33" s="58"/>
      <c r="N33" s="57"/>
      <c r="O33" s="57"/>
      <c r="P33" s="57"/>
      <c r="Q33" s="57"/>
      <c r="R33" s="57"/>
      <c r="S33" s="57"/>
      <c r="T33" s="57"/>
      <c r="U33" s="57"/>
      <c r="V33" s="57"/>
      <c r="W33" s="57"/>
      <c r="X33" s="57"/>
      <c r="Y33" s="57"/>
      <c r="Z33" s="57"/>
      <c r="AA33" s="57"/>
      <c r="AB33" s="57"/>
      <c r="AC33" s="57"/>
      <c r="AD33" s="57"/>
      <c r="AE33" s="57"/>
      <c r="AF33" s="57"/>
      <c r="AG33" s="57"/>
      <c r="AH33" s="57"/>
      <c r="AI33" s="57"/>
      <c r="AJ33" s="57"/>
      <c r="AK33" s="57"/>
      <c r="AL33" s="57"/>
      <c r="AM33" s="57"/>
      <c r="AN33" s="57"/>
      <c r="AO33" s="57"/>
      <c r="AP33" s="57"/>
      <c r="AQ33" s="57"/>
      <c r="AR33" s="57"/>
      <c r="AS33" s="57"/>
      <c r="AT33" s="57"/>
      <c r="AU33" s="57"/>
      <c r="AV33" s="57"/>
      <c r="AW33" s="57"/>
      <c r="AX33" s="57"/>
      <c r="AY33" s="57"/>
      <c r="AZ33" s="57"/>
      <c r="BA33" s="57"/>
      <c r="BB33" s="57"/>
      <c r="BC33" s="57"/>
      <c r="BD33" s="57"/>
      <c r="BE33" s="57"/>
      <c r="BF33" s="57"/>
      <c r="BG33" s="57"/>
      <c r="BH33" s="57"/>
      <c r="BI33" s="57"/>
      <c r="BJ33" s="57"/>
      <c r="BK33" s="57"/>
      <c r="BL33" s="57"/>
      <c r="BM33" s="57"/>
      <c r="BN33" s="57"/>
      <c r="BO33" s="57"/>
      <c r="BP33" s="57"/>
      <c r="BQ33" s="57"/>
      <c r="BR33" s="57"/>
      <c r="BS33" s="57"/>
      <c r="BT33" s="57"/>
      <c r="BU33" s="57"/>
      <c r="BV33" s="57"/>
      <c r="BW33" s="57"/>
      <c r="BX33" s="57"/>
      <c r="BY33" s="57"/>
      <c r="BZ33" s="57"/>
      <c r="CA33" s="57"/>
      <c r="CB33" s="57"/>
      <c r="CC33" s="57"/>
      <c r="CD33" s="57"/>
      <c r="CE33" s="57"/>
      <c r="CF33" s="57"/>
      <c r="CG33" s="57"/>
      <c r="CH33" s="57"/>
      <c r="CI33" s="57"/>
      <c r="CJ33" s="57"/>
      <c r="CK33" s="57"/>
      <c r="CL33" s="57"/>
      <c r="CM33" s="57"/>
      <c r="CN33" s="57"/>
      <c r="CO33" s="57"/>
      <c r="CP33" s="49">
        <f t="shared" si="0"/>
        <v>0</v>
      </c>
      <c r="CQ33" s="49">
        <f t="shared" si="1"/>
        <v>0</v>
      </c>
      <c r="CR33" s="47">
        <f t="shared" si="2"/>
        <v>0</v>
      </c>
      <c r="CS33" s="48">
        <f t="shared" si="3"/>
        <v>0</v>
      </c>
    </row>
    <row r="34" spans="2:97" ht="26.25" thickBot="1" x14ac:dyDescent="0.3">
      <c r="B34" s="184"/>
      <c r="C34" s="37">
        <v>30</v>
      </c>
      <c r="D34" s="62"/>
      <c r="E34" s="62"/>
      <c r="F34" s="60"/>
      <c r="G34" s="61"/>
      <c r="H34" s="53" t="s">
        <v>163</v>
      </c>
      <c r="I34" s="53" t="s">
        <v>164</v>
      </c>
      <c r="J34" s="53" t="s">
        <v>165</v>
      </c>
      <c r="K34" s="53" t="s">
        <v>166</v>
      </c>
      <c r="L34" s="53" t="s">
        <v>167</v>
      </c>
      <c r="M34" s="58"/>
      <c r="N34" s="57"/>
      <c r="O34" s="57"/>
      <c r="P34" s="57"/>
      <c r="Q34" s="57"/>
      <c r="R34" s="57"/>
      <c r="S34" s="57"/>
      <c r="T34" s="57"/>
      <c r="U34" s="57"/>
      <c r="V34" s="57"/>
      <c r="W34" s="57"/>
      <c r="X34" s="57"/>
      <c r="Y34" s="57"/>
      <c r="Z34" s="57"/>
      <c r="AA34" s="57"/>
      <c r="AB34" s="57"/>
      <c r="AC34" s="57"/>
      <c r="AD34" s="57"/>
      <c r="AE34" s="57"/>
      <c r="AF34" s="57"/>
      <c r="AG34" s="57"/>
      <c r="AH34" s="57"/>
      <c r="AI34" s="57"/>
      <c r="AJ34" s="57"/>
      <c r="AK34" s="57"/>
      <c r="AL34" s="57"/>
      <c r="AM34" s="57"/>
      <c r="AN34" s="57"/>
      <c r="AO34" s="57"/>
      <c r="AP34" s="57"/>
      <c r="AQ34" s="57"/>
      <c r="AR34" s="57"/>
      <c r="AS34" s="57"/>
      <c r="AT34" s="57"/>
      <c r="AU34" s="57"/>
      <c r="AV34" s="57"/>
      <c r="AW34" s="57"/>
      <c r="AX34" s="57"/>
      <c r="AY34" s="57"/>
      <c r="AZ34" s="57"/>
      <c r="BA34" s="57"/>
      <c r="BB34" s="57"/>
      <c r="BC34" s="57"/>
      <c r="BD34" s="57"/>
      <c r="BE34" s="57"/>
      <c r="BF34" s="57"/>
      <c r="BG34" s="57"/>
      <c r="BH34" s="57"/>
      <c r="BI34" s="57"/>
      <c r="BJ34" s="57"/>
      <c r="BK34" s="57"/>
      <c r="BL34" s="57"/>
      <c r="BM34" s="57"/>
      <c r="BN34" s="57"/>
      <c r="BO34" s="57"/>
      <c r="BP34" s="57"/>
      <c r="BQ34" s="57"/>
      <c r="BR34" s="57"/>
      <c r="BS34" s="57"/>
      <c r="BT34" s="57"/>
      <c r="BU34" s="57"/>
      <c r="BV34" s="57"/>
      <c r="BW34" s="57"/>
      <c r="BX34" s="57"/>
      <c r="BY34" s="57"/>
      <c r="BZ34" s="57"/>
      <c r="CA34" s="57"/>
      <c r="CB34" s="57"/>
      <c r="CC34" s="57"/>
      <c r="CD34" s="57"/>
      <c r="CE34" s="57"/>
      <c r="CF34" s="57"/>
      <c r="CG34" s="57"/>
      <c r="CH34" s="57"/>
      <c r="CI34" s="57"/>
      <c r="CJ34" s="57"/>
      <c r="CK34" s="57"/>
      <c r="CL34" s="57"/>
      <c r="CM34" s="57"/>
      <c r="CN34" s="57"/>
      <c r="CO34" s="57"/>
      <c r="CP34" s="49">
        <f t="shared" si="0"/>
        <v>0</v>
      </c>
      <c r="CQ34" s="49">
        <f t="shared" si="1"/>
        <v>0</v>
      </c>
      <c r="CR34" s="47">
        <f t="shared" si="2"/>
        <v>0</v>
      </c>
      <c r="CS34" s="48">
        <f t="shared" si="3"/>
        <v>0</v>
      </c>
    </row>
    <row r="35" spans="2:97" ht="26.25" thickBot="1" x14ac:dyDescent="0.3">
      <c r="B35" s="184"/>
      <c r="C35" s="37">
        <v>31</v>
      </c>
      <c r="D35" s="62"/>
      <c r="E35" s="62"/>
      <c r="F35" s="60"/>
      <c r="G35" s="61"/>
      <c r="H35" s="53" t="s">
        <v>163</v>
      </c>
      <c r="I35" s="53" t="s">
        <v>164</v>
      </c>
      <c r="J35" s="53" t="s">
        <v>165</v>
      </c>
      <c r="K35" s="53" t="s">
        <v>166</v>
      </c>
      <c r="L35" s="53" t="s">
        <v>167</v>
      </c>
      <c r="M35" s="58"/>
      <c r="N35" s="57"/>
      <c r="O35" s="57"/>
      <c r="P35" s="57"/>
      <c r="Q35" s="57"/>
      <c r="R35" s="57"/>
      <c r="S35" s="57"/>
      <c r="T35" s="57"/>
      <c r="U35" s="57"/>
      <c r="V35" s="57"/>
      <c r="W35" s="57"/>
      <c r="X35" s="57"/>
      <c r="Y35" s="57"/>
      <c r="Z35" s="57"/>
      <c r="AA35" s="57"/>
      <c r="AB35" s="57"/>
      <c r="AC35" s="57"/>
      <c r="AD35" s="57"/>
      <c r="AE35" s="57"/>
      <c r="AF35" s="57"/>
      <c r="AG35" s="57"/>
      <c r="AH35" s="57"/>
      <c r="AI35" s="57"/>
      <c r="AJ35" s="57"/>
      <c r="AK35" s="57"/>
      <c r="AL35" s="57"/>
      <c r="AM35" s="57"/>
      <c r="AN35" s="57"/>
      <c r="AO35" s="57"/>
      <c r="AP35" s="57"/>
      <c r="AQ35" s="57"/>
      <c r="AR35" s="57"/>
      <c r="AS35" s="57"/>
      <c r="AT35" s="57"/>
      <c r="AU35" s="57"/>
      <c r="AV35" s="57"/>
      <c r="AW35" s="57"/>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c r="BX35" s="57"/>
      <c r="BY35" s="57"/>
      <c r="BZ35" s="57"/>
      <c r="CA35" s="57"/>
      <c r="CB35" s="57"/>
      <c r="CC35" s="57"/>
      <c r="CD35" s="57"/>
      <c r="CE35" s="57"/>
      <c r="CF35" s="57"/>
      <c r="CG35" s="57"/>
      <c r="CH35" s="57"/>
      <c r="CI35" s="57"/>
      <c r="CJ35" s="57"/>
      <c r="CK35" s="57"/>
      <c r="CL35" s="57"/>
      <c r="CM35" s="57"/>
      <c r="CN35" s="57"/>
      <c r="CO35" s="57"/>
      <c r="CP35" s="49">
        <f t="shared" si="0"/>
        <v>0</v>
      </c>
      <c r="CQ35" s="49">
        <f t="shared" si="1"/>
        <v>0</v>
      </c>
      <c r="CR35" s="47">
        <f t="shared" si="2"/>
        <v>0</v>
      </c>
      <c r="CS35" s="48">
        <f t="shared" si="3"/>
        <v>0</v>
      </c>
    </row>
    <row r="36" spans="2:97" ht="26.25" thickBot="1" x14ac:dyDescent="0.3">
      <c r="B36" s="184"/>
      <c r="C36" s="37">
        <v>32</v>
      </c>
      <c r="D36" s="62"/>
      <c r="E36" s="62"/>
      <c r="F36" s="60"/>
      <c r="G36" s="61"/>
      <c r="H36" s="53" t="s">
        <v>163</v>
      </c>
      <c r="I36" s="53" t="s">
        <v>164</v>
      </c>
      <c r="J36" s="53" t="s">
        <v>165</v>
      </c>
      <c r="K36" s="53" t="s">
        <v>166</v>
      </c>
      <c r="L36" s="53" t="s">
        <v>167</v>
      </c>
      <c r="M36" s="58"/>
      <c r="N36" s="57"/>
      <c r="O36" s="57"/>
      <c r="P36" s="57"/>
      <c r="Q36" s="57"/>
      <c r="R36" s="57"/>
      <c r="S36" s="57"/>
      <c r="T36" s="57"/>
      <c r="U36" s="57"/>
      <c r="V36" s="57"/>
      <c r="W36" s="57"/>
      <c r="X36" s="57"/>
      <c r="Y36" s="57"/>
      <c r="Z36" s="57"/>
      <c r="AA36" s="57"/>
      <c r="AB36" s="57"/>
      <c r="AC36" s="57"/>
      <c r="AD36" s="57"/>
      <c r="AE36" s="57"/>
      <c r="AF36" s="57"/>
      <c r="AG36" s="57"/>
      <c r="AH36" s="57"/>
      <c r="AI36" s="57"/>
      <c r="AJ36" s="57"/>
      <c r="AK36" s="57"/>
      <c r="AL36" s="57"/>
      <c r="AM36" s="57"/>
      <c r="AN36" s="57"/>
      <c r="AO36" s="57"/>
      <c r="AP36" s="57"/>
      <c r="AQ36" s="57"/>
      <c r="AR36" s="57"/>
      <c r="AS36" s="57"/>
      <c r="AT36" s="57"/>
      <c r="AU36" s="57"/>
      <c r="AV36" s="57"/>
      <c r="AW36" s="57"/>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c r="BX36" s="57"/>
      <c r="BY36" s="57"/>
      <c r="BZ36" s="57"/>
      <c r="CA36" s="57"/>
      <c r="CB36" s="57"/>
      <c r="CC36" s="57"/>
      <c r="CD36" s="57"/>
      <c r="CE36" s="57"/>
      <c r="CF36" s="57"/>
      <c r="CG36" s="57"/>
      <c r="CH36" s="57"/>
      <c r="CI36" s="57"/>
      <c r="CJ36" s="57"/>
      <c r="CK36" s="57"/>
      <c r="CL36" s="57"/>
      <c r="CM36" s="57"/>
      <c r="CN36" s="57"/>
      <c r="CO36" s="57"/>
      <c r="CP36" s="49">
        <f t="shared" si="0"/>
        <v>0</v>
      </c>
      <c r="CQ36" s="49">
        <f t="shared" si="1"/>
        <v>0</v>
      </c>
      <c r="CR36" s="47">
        <f t="shared" si="2"/>
        <v>0</v>
      </c>
      <c r="CS36" s="48">
        <f t="shared" si="3"/>
        <v>0</v>
      </c>
    </row>
    <row r="37" spans="2:97" ht="26.25" thickBot="1" x14ac:dyDescent="0.3">
      <c r="B37" s="184"/>
      <c r="C37" s="37">
        <v>33</v>
      </c>
      <c r="D37" s="62"/>
      <c r="E37" s="62"/>
      <c r="F37" s="60"/>
      <c r="G37" s="61"/>
      <c r="H37" s="53" t="s">
        <v>163</v>
      </c>
      <c r="I37" s="53" t="s">
        <v>164</v>
      </c>
      <c r="J37" s="53" t="s">
        <v>165</v>
      </c>
      <c r="K37" s="53" t="s">
        <v>166</v>
      </c>
      <c r="L37" s="53" t="s">
        <v>167</v>
      </c>
      <c r="M37" s="58"/>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57"/>
      <c r="AN37" s="57"/>
      <c r="AO37" s="57"/>
      <c r="AP37" s="57"/>
      <c r="AQ37" s="57"/>
      <c r="AR37" s="57"/>
      <c r="AS37" s="57"/>
      <c r="AT37" s="57"/>
      <c r="AU37" s="57"/>
      <c r="AV37" s="57"/>
      <c r="AW37" s="57"/>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c r="BX37" s="57"/>
      <c r="BY37" s="57"/>
      <c r="BZ37" s="57"/>
      <c r="CA37" s="57"/>
      <c r="CB37" s="57"/>
      <c r="CC37" s="57"/>
      <c r="CD37" s="57"/>
      <c r="CE37" s="57"/>
      <c r="CF37" s="57"/>
      <c r="CG37" s="57"/>
      <c r="CH37" s="57"/>
      <c r="CI37" s="57"/>
      <c r="CJ37" s="57"/>
      <c r="CK37" s="57"/>
      <c r="CL37" s="57"/>
      <c r="CM37" s="57"/>
      <c r="CN37" s="57"/>
      <c r="CO37" s="57"/>
      <c r="CP37" s="49">
        <f t="shared" si="0"/>
        <v>0</v>
      </c>
      <c r="CQ37" s="49">
        <f t="shared" si="1"/>
        <v>0</v>
      </c>
      <c r="CR37" s="47">
        <f t="shared" si="2"/>
        <v>0</v>
      </c>
      <c r="CS37" s="48">
        <f t="shared" si="3"/>
        <v>0</v>
      </c>
    </row>
    <row r="38" spans="2:97" ht="26.25" thickBot="1" x14ac:dyDescent="0.3">
      <c r="B38" s="184"/>
      <c r="C38" s="37">
        <v>34</v>
      </c>
      <c r="D38" s="62"/>
      <c r="E38" s="62"/>
      <c r="F38" s="60"/>
      <c r="G38" s="61"/>
      <c r="H38" s="53" t="s">
        <v>163</v>
      </c>
      <c r="I38" s="53" t="s">
        <v>164</v>
      </c>
      <c r="J38" s="53" t="s">
        <v>165</v>
      </c>
      <c r="K38" s="53" t="s">
        <v>166</v>
      </c>
      <c r="L38" s="53" t="s">
        <v>167</v>
      </c>
      <c r="M38" s="58"/>
      <c r="N38" s="57"/>
      <c r="O38" s="57"/>
      <c r="P38" s="57"/>
      <c r="Q38" s="57"/>
      <c r="R38" s="57"/>
      <c r="S38" s="57"/>
      <c r="T38" s="57"/>
      <c r="U38" s="57"/>
      <c r="V38" s="57"/>
      <c r="W38" s="57"/>
      <c r="X38" s="57"/>
      <c r="Y38" s="57"/>
      <c r="Z38" s="57"/>
      <c r="AA38" s="57"/>
      <c r="AB38" s="57"/>
      <c r="AC38" s="57"/>
      <c r="AD38" s="57"/>
      <c r="AE38" s="57"/>
      <c r="AF38" s="57"/>
      <c r="AG38" s="57"/>
      <c r="AH38" s="57"/>
      <c r="AI38" s="57"/>
      <c r="AJ38" s="57"/>
      <c r="AK38" s="57"/>
      <c r="AL38" s="57"/>
      <c r="AM38" s="57"/>
      <c r="AN38" s="57"/>
      <c r="AO38" s="57"/>
      <c r="AP38" s="57"/>
      <c r="AQ38" s="57"/>
      <c r="AR38" s="57"/>
      <c r="AS38" s="57"/>
      <c r="AT38" s="57"/>
      <c r="AU38" s="57"/>
      <c r="AV38" s="57"/>
      <c r="AW38" s="57"/>
      <c r="AX38" s="57"/>
      <c r="AY38" s="57"/>
      <c r="AZ38" s="57"/>
      <c r="BA38" s="57"/>
      <c r="BB38" s="57"/>
      <c r="BC38" s="57"/>
      <c r="BD38" s="57"/>
      <c r="BE38" s="57"/>
      <c r="BF38" s="57"/>
      <c r="BG38" s="57"/>
      <c r="BH38" s="57"/>
      <c r="BI38" s="57"/>
      <c r="BJ38" s="57"/>
      <c r="BK38" s="57"/>
      <c r="BL38" s="57"/>
      <c r="BM38" s="57"/>
      <c r="BN38" s="57"/>
      <c r="BO38" s="57"/>
      <c r="BP38" s="57"/>
      <c r="BQ38" s="57"/>
      <c r="BR38" s="57"/>
      <c r="BS38" s="57"/>
      <c r="BT38" s="57"/>
      <c r="BU38" s="57"/>
      <c r="BV38" s="57"/>
      <c r="BW38" s="57"/>
      <c r="BX38" s="57"/>
      <c r="BY38" s="57"/>
      <c r="BZ38" s="57"/>
      <c r="CA38" s="57"/>
      <c r="CB38" s="57"/>
      <c r="CC38" s="57"/>
      <c r="CD38" s="57"/>
      <c r="CE38" s="57"/>
      <c r="CF38" s="57"/>
      <c r="CG38" s="57"/>
      <c r="CH38" s="57"/>
      <c r="CI38" s="57"/>
      <c r="CJ38" s="57"/>
      <c r="CK38" s="57"/>
      <c r="CL38" s="57"/>
      <c r="CM38" s="57"/>
      <c r="CN38" s="57"/>
      <c r="CO38" s="57"/>
      <c r="CP38" s="49">
        <f t="shared" si="0"/>
        <v>0</v>
      </c>
      <c r="CQ38" s="49">
        <f t="shared" si="1"/>
        <v>0</v>
      </c>
      <c r="CR38" s="47">
        <f t="shared" si="2"/>
        <v>0</v>
      </c>
      <c r="CS38" s="48">
        <f t="shared" si="3"/>
        <v>0</v>
      </c>
    </row>
    <row r="39" spans="2:97" ht="26.25" thickBot="1" x14ac:dyDescent="0.3">
      <c r="B39" s="184"/>
      <c r="C39" s="37">
        <v>35</v>
      </c>
      <c r="D39" s="62"/>
      <c r="E39" s="62"/>
      <c r="F39" s="60"/>
      <c r="G39" s="61"/>
      <c r="H39" s="53" t="s">
        <v>163</v>
      </c>
      <c r="I39" s="53" t="s">
        <v>164</v>
      </c>
      <c r="J39" s="53" t="s">
        <v>165</v>
      </c>
      <c r="K39" s="53" t="s">
        <v>166</v>
      </c>
      <c r="L39" s="53" t="s">
        <v>167</v>
      </c>
      <c r="M39" s="58"/>
      <c r="N39" s="57"/>
      <c r="O39" s="57"/>
      <c r="P39" s="57"/>
      <c r="Q39" s="57"/>
      <c r="R39" s="57"/>
      <c r="S39" s="57"/>
      <c r="T39" s="57"/>
      <c r="U39" s="57"/>
      <c r="V39" s="57"/>
      <c r="W39" s="57"/>
      <c r="X39" s="57"/>
      <c r="Y39" s="5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c r="BX39" s="57"/>
      <c r="BY39" s="57"/>
      <c r="BZ39" s="57"/>
      <c r="CA39" s="57"/>
      <c r="CB39" s="57"/>
      <c r="CC39" s="57"/>
      <c r="CD39" s="57"/>
      <c r="CE39" s="57"/>
      <c r="CF39" s="57"/>
      <c r="CG39" s="57"/>
      <c r="CH39" s="57"/>
      <c r="CI39" s="57"/>
      <c r="CJ39" s="57"/>
      <c r="CK39" s="57"/>
      <c r="CL39" s="57"/>
      <c r="CM39" s="57"/>
      <c r="CN39" s="57"/>
      <c r="CO39" s="57"/>
      <c r="CP39" s="49">
        <f t="shared" si="0"/>
        <v>0</v>
      </c>
      <c r="CQ39" s="49">
        <f t="shared" si="1"/>
        <v>0</v>
      </c>
      <c r="CR39" s="47">
        <f t="shared" si="2"/>
        <v>0</v>
      </c>
      <c r="CS39" s="48">
        <f t="shared" si="3"/>
        <v>0</v>
      </c>
    </row>
    <row r="40" spans="2:97" ht="26.25" thickBot="1" x14ac:dyDescent="0.3">
      <c r="B40" s="184"/>
      <c r="C40" s="37">
        <v>36</v>
      </c>
      <c r="D40" s="62"/>
      <c r="E40" s="62"/>
      <c r="F40" s="60"/>
      <c r="G40" s="61"/>
      <c r="H40" s="53" t="s">
        <v>163</v>
      </c>
      <c r="I40" s="53" t="s">
        <v>164</v>
      </c>
      <c r="J40" s="53" t="s">
        <v>165</v>
      </c>
      <c r="K40" s="53" t="s">
        <v>166</v>
      </c>
      <c r="L40" s="53" t="s">
        <v>167</v>
      </c>
      <c r="M40" s="58"/>
      <c r="N40" s="57"/>
      <c r="O40" s="57"/>
      <c r="P40" s="57"/>
      <c r="Q40" s="57"/>
      <c r="R40" s="57"/>
      <c r="S40" s="57"/>
      <c r="T40" s="57"/>
      <c r="U40" s="57"/>
      <c r="V40" s="57"/>
      <c r="W40" s="57"/>
      <c r="X40" s="57"/>
      <c r="Y40" s="5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c r="BX40" s="57"/>
      <c r="BY40" s="57"/>
      <c r="BZ40" s="57"/>
      <c r="CA40" s="57"/>
      <c r="CB40" s="57"/>
      <c r="CC40" s="57"/>
      <c r="CD40" s="57"/>
      <c r="CE40" s="57"/>
      <c r="CF40" s="57"/>
      <c r="CG40" s="57"/>
      <c r="CH40" s="57"/>
      <c r="CI40" s="57"/>
      <c r="CJ40" s="57"/>
      <c r="CK40" s="57"/>
      <c r="CL40" s="57"/>
      <c r="CM40" s="57"/>
      <c r="CN40" s="57"/>
      <c r="CO40" s="57"/>
      <c r="CP40" s="49">
        <f t="shared" si="0"/>
        <v>0</v>
      </c>
      <c r="CQ40" s="49">
        <f t="shared" si="1"/>
        <v>0</v>
      </c>
      <c r="CR40" s="47">
        <f t="shared" si="2"/>
        <v>0</v>
      </c>
      <c r="CS40" s="48">
        <f t="shared" si="3"/>
        <v>0</v>
      </c>
    </row>
    <row r="41" spans="2:97" ht="26.25" thickBot="1" x14ac:dyDescent="0.3">
      <c r="B41" s="184"/>
      <c r="C41" s="37">
        <v>37</v>
      </c>
      <c r="D41" s="62"/>
      <c r="E41" s="62"/>
      <c r="F41" s="60"/>
      <c r="G41" s="61"/>
      <c r="H41" s="53" t="s">
        <v>163</v>
      </c>
      <c r="I41" s="53" t="s">
        <v>164</v>
      </c>
      <c r="J41" s="53" t="s">
        <v>165</v>
      </c>
      <c r="K41" s="53" t="s">
        <v>166</v>
      </c>
      <c r="L41" s="53" t="s">
        <v>167</v>
      </c>
      <c r="M41" s="58"/>
      <c r="N41" s="57"/>
      <c r="O41" s="57"/>
      <c r="P41" s="57"/>
      <c r="Q41" s="57"/>
      <c r="R41" s="57"/>
      <c r="S41" s="57"/>
      <c r="T41" s="57"/>
      <c r="U41" s="57"/>
      <c r="V41" s="57"/>
      <c r="W41" s="57"/>
      <c r="X41" s="57"/>
      <c r="Y41" s="57"/>
      <c r="Z41" s="57"/>
      <c r="AA41" s="57"/>
      <c r="AB41" s="57"/>
      <c r="AC41" s="57"/>
      <c r="AD41" s="57"/>
      <c r="AE41" s="57"/>
      <c r="AF41" s="57"/>
      <c r="AG41" s="57"/>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c r="BX41" s="57"/>
      <c r="BY41" s="57"/>
      <c r="BZ41" s="57"/>
      <c r="CA41" s="57"/>
      <c r="CB41" s="57"/>
      <c r="CC41" s="57"/>
      <c r="CD41" s="57"/>
      <c r="CE41" s="57"/>
      <c r="CF41" s="57"/>
      <c r="CG41" s="57"/>
      <c r="CH41" s="57"/>
      <c r="CI41" s="57"/>
      <c r="CJ41" s="57"/>
      <c r="CK41" s="57"/>
      <c r="CL41" s="57"/>
      <c r="CM41" s="57"/>
      <c r="CN41" s="57"/>
      <c r="CO41" s="57"/>
      <c r="CP41" s="49">
        <f t="shared" si="0"/>
        <v>0</v>
      </c>
      <c r="CQ41" s="49">
        <f t="shared" si="1"/>
        <v>0</v>
      </c>
      <c r="CR41" s="47">
        <f t="shared" si="2"/>
        <v>0</v>
      </c>
      <c r="CS41" s="48">
        <f t="shared" si="3"/>
        <v>0</v>
      </c>
    </row>
    <row r="42" spans="2:97" ht="26.25" thickBot="1" x14ac:dyDescent="0.3">
      <c r="B42" s="184"/>
      <c r="C42" s="37">
        <v>38</v>
      </c>
      <c r="D42" s="62"/>
      <c r="E42" s="62"/>
      <c r="F42" s="60"/>
      <c r="G42" s="61"/>
      <c r="H42" s="53" t="s">
        <v>163</v>
      </c>
      <c r="I42" s="53" t="s">
        <v>164</v>
      </c>
      <c r="J42" s="53" t="s">
        <v>165</v>
      </c>
      <c r="K42" s="53" t="s">
        <v>166</v>
      </c>
      <c r="L42" s="53" t="s">
        <v>167</v>
      </c>
      <c r="M42" s="58"/>
      <c r="N42" s="57"/>
      <c r="O42" s="57"/>
      <c r="P42" s="57"/>
      <c r="Q42" s="57"/>
      <c r="R42" s="57"/>
      <c r="S42" s="57"/>
      <c r="T42" s="57"/>
      <c r="U42" s="57"/>
      <c r="V42" s="57"/>
      <c r="W42" s="57"/>
      <c r="X42" s="57"/>
      <c r="Y42" s="5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c r="BX42" s="57"/>
      <c r="BY42" s="57"/>
      <c r="BZ42" s="57"/>
      <c r="CA42" s="57"/>
      <c r="CB42" s="57"/>
      <c r="CC42" s="57"/>
      <c r="CD42" s="57"/>
      <c r="CE42" s="57"/>
      <c r="CF42" s="57"/>
      <c r="CG42" s="57"/>
      <c r="CH42" s="57"/>
      <c r="CI42" s="57"/>
      <c r="CJ42" s="57"/>
      <c r="CK42" s="57"/>
      <c r="CL42" s="57"/>
      <c r="CM42" s="57"/>
      <c r="CN42" s="57"/>
      <c r="CO42" s="57"/>
      <c r="CP42" s="49">
        <f t="shared" si="0"/>
        <v>0</v>
      </c>
      <c r="CQ42" s="49">
        <f t="shared" si="1"/>
        <v>0</v>
      </c>
      <c r="CR42" s="47">
        <f t="shared" si="2"/>
        <v>0</v>
      </c>
      <c r="CS42" s="48">
        <f t="shared" si="3"/>
        <v>0</v>
      </c>
    </row>
    <row r="43" spans="2:97" ht="26.25" thickBot="1" x14ac:dyDescent="0.3">
      <c r="B43" s="184"/>
      <c r="C43" s="37">
        <v>39</v>
      </c>
      <c r="D43" s="62"/>
      <c r="E43" s="62"/>
      <c r="F43" s="60"/>
      <c r="G43" s="61"/>
      <c r="H43" s="53" t="s">
        <v>163</v>
      </c>
      <c r="I43" s="53" t="s">
        <v>164</v>
      </c>
      <c r="J43" s="53" t="s">
        <v>165</v>
      </c>
      <c r="K43" s="53" t="s">
        <v>166</v>
      </c>
      <c r="L43" s="53" t="s">
        <v>167</v>
      </c>
      <c r="M43" s="58"/>
      <c r="N43" s="57"/>
      <c r="O43" s="57"/>
      <c r="P43" s="57"/>
      <c r="Q43" s="57"/>
      <c r="R43" s="57"/>
      <c r="S43" s="57"/>
      <c r="T43" s="57"/>
      <c r="U43" s="57"/>
      <c r="V43" s="57"/>
      <c r="W43" s="57"/>
      <c r="X43" s="57"/>
      <c r="Y43" s="57"/>
      <c r="Z43" s="57"/>
      <c r="AA43" s="57"/>
      <c r="AB43" s="57"/>
      <c r="AC43" s="57"/>
      <c r="AD43" s="57"/>
      <c r="AE43" s="57"/>
      <c r="AF43" s="57"/>
      <c r="AG43" s="57"/>
      <c r="AH43" s="57"/>
      <c r="AI43" s="57"/>
      <c r="AJ43" s="57"/>
      <c r="AK43" s="57"/>
      <c r="AL43" s="57"/>
      <c r="AM43" s="57"/>
      <c r="AN43" s="57"/>
      <c r="AO43" s="57"/>
      <c r="AP43" s="57"/>
      <c r="AQ43" s="57"/>
      <c r="AR43" s="57"/>
      <c r="AS43" s="57"/>
      <c r="AT43" s="57"/>
      <c r="AU43" s="57"/>
      <c r="AV43" s="57"/>
      <c r="AW43" s="57"/>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c r="BX43" s="57"/>
      <c r="BY43" s="57"/>
      <c r="BZ43" s="57"/>
      <c r="CA43" s="57"/>
      <c r="CB43" s="57"/>
      <c r="CC43" s="57"/>
      <c r="CD43" s="57"/>
      <c r="CE43" s="57"/>
      <c r="CF43" s="57"/>
      <c r="CG43" s="57"/>
      <c r="CH43" s="57"/>
      <c r="CI43" s="57"/>
      <c r="CJ43" s="57"/>
      <c r="CK43" s="57"/>
      <c r="CL43" s="57"/>
      <c r="CM43" s="57"/>
      <c r="CN43" s="57"/>
      <c r="CO43" s="57"/>
      <c r="CP43" s="49">
        <f t="shared" si="0"/>
        <v>0</v>
      </c>
      <c r="CQ43" s="49">
        <f t="shared" si="1"/>
        <v>0</v>
      </c>
      <c r="CR43" s="47">
        <f t="shared" si="2"/>
        <v>0</v>
      </c>
      <c r="CS43" s="48">
        <f t="shared" si="3"/>
        <v>0</v>
      </c>
    </row>
    <row r="44" spans="2:97" ht="26.25" thickBot="1" x14ac:dyDescent="0.3">
      <c r="B44" s="184"/>
      <c r="C44" s="37">
        <v>40</v>
      </c>
      <c r="D44" s="62"/>
      <c r="E44" s="62"/>
      <c r="F44" s="60"/>
      <c r="G44" s="61"/>
      <c r="H44" s="53" t="s">
        <v>163</v>
      </c>
      <c r="I44" s="53" t="s">
        <v>164</v>
      </c>
      <c r="J44" s="53" t="s">
        <v>165</v>
      </c>
      <c r="K44" s="53" t="s">
        <v>166</v>
      </c>
      <c r="L44" s="53" t="s">
        <v>167</v>
      </c>
      <c r="M44" s="58"/>
      <c r="N44" s="57"/>
      <c r="O44" s="57"/>
      <c r="P44" s="57"/>
      <c r="Q44" s="57"/>
      <c r="R44" s="57"/>
      <c r="S44" s="57"/>
      <c r="T44" s="57"/>
      <c r="U44" s="57"/>
      <c r="V44" s="57"/>
      <c r="W44" s="57"/>
      <c r="X44" s="57"/>
      <c r="Y44" s="57"/>
      <c r="Z44" s="57"/>
      <c r="AA44" s="57"/>
      <c r="AB44" s="57"/>
      <c r="AC44" s="57"/>
      <c r="AD44" s="57"/>
      <c r="AE44" s="57"/>
      <c r="AF44" s="57"/>
      <c r="AG44" s="57"/>
      <c r="AH44" s="57"/>
      <c r="AI44" s="57"/>
      <c r="AJ44" s="57"/>
      <c r="AK44" s="57"/>
      <c r="AL44" s="57"/>
      <c r="AM44" s="57"/>
      <c r="AN44" s="57"/>
      <c r="AO44" s="57"/>
      <c r="AP44" s="57"/>
      <c r="AQ44" s="57"/>
      <c r="AR44" s="57"/>
      <c r="AS44" s="57"/>
      <c r="AT44" s="57"/>
      <c r="AU44" s="57"/>
      <c r="AV44" s="57"/>
      <c r="AW44" s="57"/>
      <c r="AX44" s="57"/>
      <c r="AY44" s="57"/>
      <c r="AZ44" s="57"/>
      <c r="BA44" s="57"/>
      <c r="BB44" s="57"/>
      <c r="BC44" s="57"/>
      <c r="BD44" s="57"/>
      <c r="BE44" s="57"/>
      <c r="BF44" s="57"/>
      <c r="BG44" s="57"/>
      <c r="BH44" s="57"/>
      <c r="BI44" s="57"/>
      <c r="BJ44" s="57"/>
      <c r="BK44" s="57"/>
      <c r="BL44" s="57"/>
      <c r="BM44" s="57"/>
      <c r="BN44" s="57"/>
      <c r="BO44" s="57"/>
      <c r="BP44" s="57"/>
      <c r="BQ44" s="57"/>
      <c r="BR44" s="57"/>
      <c r="BS44" s="57"/>
      <c r="BT44" s="57"/>
      <c r="BU44" s="57"/>
      <c r="BV44" s="57"/>
      <c r="BW44" s="57"/>
      <c r="BX44" s="57"/>
      <c r="BY44" s="57"/>
      <c r="BZ44" s="57"/>
      <c r="CA44" s="57"/>
      <c r="CB44" s="57"/>
      <c r="CC44" s="57"/>
      <c r="CD44" s="57"/>
      <c r="CE44" s="57"/>
      <c r="CF44" s="57"/>
      <c r="CG44" s="57"/>
      <c r="CH44" s="57"/>
      <c r="CI44" s="57"/>
      <c r="CJ44" s="57"/>
      <c r="CK44" s="57"/>
      <c r="CL44" s="57"/>
      <c r="CM44" s="57"/>
      <c r="CN44" s="57"/>
      <c r="CO44" s="57"/>
      <c r="CP44" s="49">
        <f t="shared" si="0"/>
        <v>0</v>
      </c>
      <c r="CQ44" s="49">
        <f t="shared" si="1"/>
        <v>0</v>
      </c>
      <c r="CR44" s="47">
        <f t="shared" si="2"/>
        <v>0</v>
      </c>
      <c r="CS44" s="48">
        <f t="shared" si="3"/>
        <v>0</v>
      </c>
    </row>
    <row r="45" spans="2:97" ht="26.25" thickBot="1" x14ac:dyDescent="0.3">
      <c r="B45" s="184"/>
      <c r="C45" s="37">
        <v>41</v>
      </c>
      <c r="D45" s="62"/>
      <c r="E45" s="62"/>
      <c r="F45" s="60"/>
      <c r="G45" s="61"/>
      <c r="H45" s="53" t="s">
        <v>163</v>
      </c>
      <c r="I45" s="53" t="s">
        <v>164</v>
      </c>
      <c r="J45" s="53" t="s">
        <v>165</v>
      </c>
      <c r="K45" s="53" t="s">
        <v>166</v>
      </c>
      <c r="L45" s="53" t="s">
        <v>167</v>
      </c>
      <c r="M45" s="58"/>
      <c r="N45" s="57"/>
      <c r="O45" s="57"/>
      <c r="P45" s="57"/>
      <c r="Q45" s="57"/>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c r="AP45" s="57"/>
      <c r="AQ45" s="57"/>
      <c r="AR45" s="57"/>
      <c r="AS45" s="57"/>
      <c r="AT45" s="57"/>
      <c r="AU45" s="57"/>
      <c r="AV45" s="57"/>
      <c r="AW45" s="57"/>
      <c r="AX45" s="57"/>
      <c r="AY45" s="57"/>
      <c r="AZ45" s="57"/>
      <c r="BA45" s="57"/>
      <c r="BB45" s="57"/>
      <c r="BC45" s="57"/>
      <c r="BD45" s="57"/>
      <c r="BE45" s="57"/>
      <c r="BF45" s="57"/>
      <c r="BG45" s="57"/>
      <c r="BH45" s="57"/>
      <c r="BI45" s="57"/>
      <c r="BJ45" s="57"/>
      <c r="BK45" s="57"/>
      <c r="BL45" s="57"/>
      <c r="BM45" s="57"/>
      <c r="BN45" s="57"/>
      <c r="BO45" s="57"/>
      <c r="BP45" s="57"/>
      <c r="BQ45" s="57"/>
      <c r="BR45" s="57"/>
      <c r="BS45" s="57"/>
      <c r="BT45" s="57"/>
      <c r="BU45" s="57"/>
      <c r="BV45" s="57"/>
      <c r="BW45" s="57"/>
      <c r="BX45" s="57"/>
      <c r="BY45" s="57"/>
      <c r="BZ45" s="57"/>
      <c r="CA45" s="57"/>
      <c r="CB45" s="57"/>
      <c r="CC45" s="57"/>
      <c r="CD45" s="57"/>
      <c r="CE45" s="57"/>
      <c r="CF45" s="57"/>
      <c r="CG45" s="57"/>
      <c r="CH45" s="57"/>
      <c r="CI45" s="57"/>
      <c r="CJ45" s="57"/>
      <c r="CK45" s="57"/>
      <c r="CL45" s="57"/>
      <c r="CM45" s="57"/>
      <c r="CN45" s="57"/>
      <c r="CO45" s="57"/>
      <c r="CP45" s="49">
        <f t="shared" si="0"/>
        <v>0</v>
      </c>
      <c r="CQ45" s="49">
        <f t="shared" si="1"/>
        <v>0</v>
      </c>
      <c r="CR45" s="47">
        <f t="shared" si="2"/>
        <v>0</v>
      </c>
      <c r="CS45" s="48">
        <f t="shared" si="3"/>
        <v>0</v>
      </c>
    </row>
    <row r="46" spans="2:97" ht="26.25" thickBot="1" x14ac:dyDescent="0.3">
      <c r="B46" s="184"/>
      <c r="C46" s="37">
        <v>42</v>
      </c>
      <c r="D46" s="62"/>
      <c r="E46" s="62"/>
      <c r="F46" s="60"/>
      <c r="G46" s="61"/>
      <c r="H46" s="53" t="s">
        <v>163</v>
      </c>
      <c r="I46" s="53" t="s">
        <v>164</v>
      </c>
      <c r="J46" s="53" t="s">
        <v>165</v>
      </c>
      <c r="K46" s="53" t="s">
        <v>166</v>
      </c>
      <c r="L46" s="53" t="s">
        <v>167</v>
      </c>
      <c r="M46" s="58"/>
      <c r="N46" s="57"/>
      <c r="O46" s="57"/>
      <c r="P46" s="57"/>
      <c r="Q46" s="57"/>
      <c r="R46" s="57"/>
      <c r="S46" s="57"/>
      <c r="T46" s="57"/>
      <c r="U46" s="57"/>
      <c r="V46" s="57"/>
      <c r="W46" s="57"/>
      <c r="X46" s="57"/>
      <c r="Y46" s="57"/>
      <c r="Z46" s="57"/>
      <c r="AA46" s="57"/>
      <c r="AB46" s="57"/>
      <c r="AC46" s="57"/>
      <c r="AD46" s="57"/>
      <c r="AE46" s="57"/>
      <c r="AF46" s="57"/>
      <c r="AG46" s="57"/>
      <c r="AH46" s="57"/>
      <c r="AI46" s="57"/>
      <c r="AJ46" s="57"/>
      <c r="AK46" s="57"/>
      <c r="AL46" s="57"/>
      <c r="AM46" s="57"/>
      <c r="AN46" s="57"/>
      <c r="AO46" s="57"/>
      <c r="AP46" s="57"/>
      <c r="AQ46" s="57"/>
      <c r="AR46" s="57"/>
      <c r="AS46" s="57"/>
      <c r="AT46" s="57"/>
      <c r="AU46" s="57"/>
      <c r="AV46" s="57"/>
      <c r="AW46" s="57"/>
      <c r="AX46" s="57"/>
      <c r="AY46" s="57"/>
      <c r="AZ46" s="57"/>
      <c r="BA46" s="57"/>
      <c r="BB46" s="57"/>
      <c r="BC46" s="57"/>
      <c r="BD46" s="57"/>
      <c r="BE46" s="57"/>
      <c r="BF46" s="57"/>
      <c r="BG46" s="57"/>
      <c r="BH46" s="57"/>
      <c r="BI46" s="57"/>
      <c r="BJ46" s="57"/>
      <c r="BK46" s="57"/>
      <c r="BL46" s="57"/>
      <c r="BM46" s="57"/>
      <c r="BN46" s="57"/>
      <c r="BO46" s="57"/>
      <c r="BP46" s="57"/>
      <c r="BQ46" s="57"/>
      <c r="BR46" s="57"/>
      <c r="BS46" s="57"/>
      <c r="BT46" s="57"/>
      <c r="BU46" s="57"/>
      <c r="BV46" s="57"/>
      <c r="BW46" s="57"/>
      <c r="BX46" s="57"/>
      <c r="BY46" s="57"/>
      <c r="BZ46" s="57"/>
      <c r="CA46" s="57"/>
      <c r="CB46" s="57"/>
      <c r="CC46" s="57"/>
      <c r="CD46" s="57"/>
      <c r="CE46" s="57"/>
      <c r="CF46" s="57"/>
      <c r="CG46" s="57"/>
      <c r="CH46" s="57"/>
      <c r="CI46" s="57"/>
      <c r="CJ46" s="57"/>
      <c r="CK46" s="57"/>
      <c r="CL46" s="57"/>
      <c r="CM46" s="57"/>
      <c r="CN46" s="57"/>
      <c r="CO46" s="57"/>
      <c r="CP46" s="49">
        <f t="shared" si="0"/>
        <v>0</v>
      </c>
      <c r="CQ46" s="49">
        <f t="shared" si="1"/>
        <v>0</v>
      </c>
      <c r="CR46" s="47">
        <f t="shared" si="2"/>
        <v>0</v>
      </c>
      <c r="CS46" s="48">
        <f t="shared" si="3"/>
        <v>0</v>
      </c>
    </row>
    <row r="47" spans="2:97" ht="26.25" thickBot="1" x14ac:dyDescent="0.3">
      <c r="B47" s="184"/>
      <c r="C47" s="37">
        <v>43</v>
      </c>
      <c r="D47" s="62"/>
      <c r="E47" s="62"/>
      <c r="F47" s="60"/>
      <c r="G47" s="61"/>
      <c r="H47" s="53" t="s">
        <v>163</v>
      </c>
      <c r="I47" s="53" t="s">
        <v>164</v>
      </c>
      <c r="J47" s="53" t="s">
        <v>165</v>
      </c>
      <c r="K47" s="53" t="s">
        <v>166</v>
      </c>
      <c r="L47" s="53" t="s">
        <v>167</v>
      </c>
      <c r="M47" s="58"/>
      <c r="N47" s="57"/>
      <c r="O47" s="57"/>
      <c r="P47" s="57"/>
      <c r="Q47" s="57"/>
      <c r="R47" s="57"/>
      <c r="S47" s="57"/>
      <c r="T47" s="57"/>
      <c r="U47" s="57"/>
      <c r="V47" s="57"/>
      <c r="W47" s="57"/>
      <c r="X47" s="57"/>
      <c r="Y47" s="57"/>
      <c r="Z47" s="57"/>
      <c r="AA47" s="57"/>
      <c r="AB47" s="57"/>
      <c r="AC47" s="57"/>
      <c r="AD47" s="57"/>
      <c r="AE47" s="57"/>
      <c r="AF47" s="57"/>
      <c r="AG47" s="57"/>
      <c r="AH47" s="57"/>
      <c r="AI47" s="57"/>
      <c r="AJ47" s="57"/>
      <c r="AK47" s="57"/>
      <c r="AL47" s="57"/>
      <c r="AM47" s="57"/>
      <c r="AN47" s="57"/>
      <c r="AO47" s="57"/>
      <c r="AP47" s="57"/>
      <c r="AQ47" s="57"/>
      <c r="AR47" s="57"/>
      <c r="AS47" s="57"/>
      <c r="AT47" s="57"/>
      <c r="AU47" s="57"/>
      <c r="AV47" s="57"/>
      <c r="AW47" s="57"/>
      <c r="AX47" s="57"/>
      <c r="AY47" s="57"/>
      <c r="AZ47" s="57"/>
      <c r="BA47" s="57"/>
      <c r="BB47" s="57"/>
      <c r="BC47" s="57"/>
      <c r="BD47" s="57"/>
      <c r="BE47" s="57"/>
      <c r="BF47" s="57"/>
      <c r="BG47" s="57"/>
      <c r="BH47" s="57"/>
      <c r="BI47" s="57"/>
      <c r="BJ47" s="57"/>
      <c r="BK47" s="57"/>
      <c r="BL47" s="57"/>
      <c r="BM47" s="57"/>
      <c r="BN47" s="57"/>
      <c r="BO47" s="57"/>
      <c r="BP47" s="57"/>
      <c r="BQ47" s="57"/>
      <c r="BR47" s="57"/>
      <c r="BS47" s="57"/>
      <c r="BT47" s="57"/>
      <c r="BU47" s="57"/>
      <c r="BV47" s="57"/>
      <c r="BW47" s="57"/>
      <c r="BX47" s="57"/>
      <c r="BY47" s="57"/>
      <c r="BZ47" s="57"/>
      <c r="CA47" s="57"/>
      <c r="CB47" s="57"/>
      <c r="CC47" s="57"/>
      <c r="CD47" s="57"/>
      <c r="CE47" s="57"/>
      <c r="CF47" s="57"/>
      <c r="CG47" s="57"/>
      <c r="CH47" s="57"/>
      <c r="CI47" s="57"/>
      <c r="CJ47" s="57"/>
      <c r="CK47" s="57"/>
      <c r="CL47" s="57"/>
      <c r="CM47" s="57"/>
      <c r="CN47" s="57"/>
      <c r="CO47" s="57"/>
      <c r="CP47" s="49">
        <f t="shared" si="0"/>
        <v>0</v>
      </c>
      <c r="CQ47" s="49">
        <f t="shared" si="1"/>
        <v>0</v>
      </c>
      <c r="CR47" s="47">
        <f t="shared" si="2"/>
        <v>0</v>
      </c>
      <c r="CS47" s="48">
        <f t="shared" si="3"/>
        <v>0</v>
      </c>
    </row>
    <row r="48" spans="2:97" ht="26.25" thickBot="1" x14ac:dyDescent="0.3">
      <c r="B48" s="184"/>
      <c r="C48" s="37">
        <v>44</v>
      </c>
      <c r="D48" s="62"/>
      <c r="E48" s="62"/>
      <c r="F48" s="60"/>
      <c r="G48" s="61"/>
      <c r="H48" s="53" t="s">
        <v>163</v>
      </c>
      <c r="I48" s="53" t="s">
        <v>164</v>
      </c>
      <c r="J48" s="53" t="s">
        <v>165</v>
      </c>
      <c r="K48" s="53" t="s">
        <v>166</v>
      </c>
      <c r="L48" s="53" t="s">
        <v>167</v>
      </c>
      <c r="M48" s="58"/>
      <c r="N48" s="57"/>
      <c r="O48" s="57"/>
      <c r="P48" s="57"/>
      <c r="Q48" s="57"/>
      <c r="R48" s="57"/>
      <c r="S48" s="57"/>
      <c r="T48" s="57"/>
      <c r="U48" s="57"/>
      <c r="V48" s="57"/>
      <c r="W48" s="57"/>
      <c r="X48" s="57"/>
      <c r="Y48" s="57"/>
      <c r="Z48" s="57"/>
      <c r="AA48" s="57"/>
      <c r="AB48" s="57"/>
      <c r="AC48" s="57"/>
      <c r="AD48" s="57"/>
      <c r="AE48" s="57"/>
      <c r="AF48" s="57"/>
      <c r="AG48" s="57"/>
      <c r="AH48" s="57"/>
      <c r="AI48" s="57"/>
      <c r="AJ48" s="57"/>
      <c r="AK48" s="57"/>
      <c r="AL48" s="57"/>
      <c r="AM48" s="57"/>
      <c r="AN48" s="57"/>
      <c r="AO48" s="57"/>
      <c r="AP48" s="57"/>
      <c r="AQ48" s="57"/>
      <c r="AR48" s="57"/>
      <c r="AS48" s="57"/>
      <c r="AT48" s="57"/>
      <c r="AU48" s="57"/>
      <c r="AV48" s="57"/>
      <c r="AW48" s="57"/>
      <c r="AX48" s="57"/>
      <c r="AY48" s="57"/>
      <c r="AZ48" s="57"/>
      <c r="BA48" s="57"/>
      <c r="BB48" s="57"/>
      <c r="BC48" s="57"/>
      <c r="BD48" s="57"/>
      <c r="BE48" s="57"/>
      <c r="BF48" s="57"/>
      <c r="BG48" s="57"/>
      <c r="BH48" s="57"/>
      <c r="BI48" s="57"/>
      <c r="BJ48" s="57"/>
      <c r="BK48" s="57"/>
      <c r="BL48" s="57"/>
      <c r="BM48" s="57"/>
      <c r="BN48" s="57"/>
      <c r="BO48" s="57"/>
      <c r="BP48" s="57"/>
      <c r="BQ48" s="57"/>
      <c r="BR48" s="57"/>
      <c r="BS48" s="57"/>
      <c r="BT48" s="57"/>
      <c r="BU48" s="57"/>
      <c r="BV48" s="57"/>
      <c r="BW48" s="57"/>
      <c r="BX48" s="57"/>
      <c r="BY48" s="57"/>
      <c r="BZ48" s="57"/>
      <c r="CA48" s="57"/>
      <c r="CB48" s="57"/>
      <c r="CC48" s="57"/>
      <c r="CD48" s="57"/>
      <c r="CE48" s="57"/>
      <c r="CF48" s="57"/>
      <c r="CG48" s="57"/>
      <c r="CH48" s="57"/>
      <c r="CI48" s="57"/>
      <c r="CJ48" s="57"/>
      <c r="CK48" s="57"/>
      <c r="CL48" s="57"/>
      <c r="CM48" s="57"/>
      <c r="CN48" s="57"/>
      <c r="CO48" s="57"/>
      <c r="CP48" s="49">
        <f t="shared" si="0"/>
        <v>0</v>
      </c>
      <c r="CQ48" s="49">
        <f t="shared" si="1"/>
        <v>0</v>
      </c>
      <c r="CR48" s="47">
        <f t="shared" si="2"/>
        <v>0</v>
      </c>
      <c r="CS48" s="48">
        <f t="shared" si="3"/>
        <v>0</v>
      </c>
    </row>
    <row r="49" spans="2:97" ht="26.25" thickBot="1" x14ac:dyDescent="0.3">
      <c r="B49" s="184"/>
      <c r="C49" s="37">
        <v>45</v>
      </c>
      <c r="D49" s="62"/>
      <c r="E49" s="62"/>
      <c r="F49" s="60"/>
      <c r="G49" s="61"/>
      <c r="H49" s="53" t="s">
        <v>163</v>
      </c>
      <c r="I49" s="53" t="s">
        <v>164</v>
      </c>
      <c r="J49" s="53" t="s">
        <v>165</v>
      </c>
      <c r="K49" s="53" t="s">
        <v>166</v>
      </c>
      <c r="L49" s="53" t="s">
        <v>167</v>
      </c>
      <c r="M49" s="58"/>
      <c r="N49" s="57"/>
      <c r="O49" s="57"/>
      <c r="P49" s="57"/>
      <c r="Q49" s="57"/>
      <c r="R49" s="57"/>
      <c r="S49" s="57"/>
      <c r="T49" s="57"/>
      <c r="U49" s="57"/>
      <c r="V49" s="57"/>
      <c r="W49" s="57"/>
      <c r="X49" s="57"/>
      <c r="Y49" s="57"/>
      <c r="Z49" s="57"/>
      <c r="AA49" s="57"/>
      <c r="AB49" s="57"/>
      <c r="AC49" s="57"/>
      <c r="AD49" s="57"/>
      <c r="AE49" s="57"/>
      <c r="AF49" s="57"/>
      <c r="AG49" s="57"/>
      <c r="AH49" s="57"/>
      <c r="AI49" s="57"/>
      <c r="AJ49" s="57"/>
      <c r="AK49" s="57"/>
      <c r="AL49" s="57"/>
      <c r="AM49" s="57"/>
      <c r="AN49" s="57"/>
      <c r="AO49" s="57"/>
      <c r="AP49" s="57"/>
      <c r="AQ49" s="57"/>
      <c r="AR49" s="57"/>
      <c r="AS49" s="57"/>
      <c r="AT49" s="57"/>
      <c r="AU49" s="57"/>
      <c r="AV49" s="57"/>
      <c r="AW49" s="57"/>
      <c r="AX49" s="57"/>
      <c r="AY49" s="57"/>
      <c r="AZ49" s="57"/>
      <c r="BA49" s="57"/>
      <c r="BB49" s="57"/>
      <c r="BC49" s="57"/>
      <c r="BD49" s="57"/>
      <c r="BE49" s="57"/>
      <c r="BF49" s="57"/>
      <c r="BG49" s="57"/>
      <c r="BH49" s="57"/>
      <c r="BI49" s="57"/>
      <c r="BJ49" s="57"/>
      <c r="BK49" s="57"/>
      <c r="BL49" s="57"/>
      <c r="BM49" s="57"/>
      <c r="BN49" s="57"/>
      <c r="BO49" s="57"/>
      <c r="BP49" s="57"/>
      <c r="BQ49" s="57"/>
      <c r="BR49" s="57"/>
      <c r="BS49" s="57"/>
      <c r="BT49" s="57"/>
      <c r="BU49" s="57"/>
      <c r="BV49" s="57"/>
      <c r="BW49" s="57"/>
      <c r="BX49" s="57"/>
      <c r="BY49" s="57"/>
      <c r="BZ49" s="57"/>
      <c r="CA49" s="57"/>
      <c r="CB49" s="57"/>
      <c r="CC49" s="57"/>
      <c r="CD49" s="57"/>
      <c r="CE49" s="57"/>
      <c r="CF49" s="57"/>
      <c r="CG49" s="57"/>
      <c r="CH49" s="57"/>
      <c r="CI49" s="57"/>
      <c r="CJ49" s="57"/>
      <c r="CK49" s="57"/>
      <c r="CL49" s="57"/>
      <c r="CM49" s="57"/>
      <c r="CN49" s="57"/>
      <c r="CO49" s="57"/>
      <c r="CP49" s="49">
        <f t="shared" si="0"/>
        <v>0</v>
      </c>
      <c r="CQ49" s="49">
        <f t="shared" si="1"/>
        <v>0</v>
      </c>
      <c r="CR49" s="47">
        <f t="shared" si="2"/>
        <v>0</v>
      </c>
      <c r="CS49" s="48">
        <f t="shared" si="3"/>
        <v>0</v>
      </c>
    </row>
    <row r="50" spans="2:97" ht="26.25" thickBot="1" x14ac:dyDescent="0.3">
      <c r="B50" s="184"/>
      <c r="C50" s="37">
        <v>46</v>
      </c>
      <c r="D50" s="62"/>
      <c r="E50" s="62"/>
      <c r="F50" s="60"/>
      <c r="G50" s="61"/>
      <c r="H50" s="53" t="s">
        <v>163</v>
      </c>
      <c r="I50" s="53" t="s">
        <v>164</v>
      </c>
      <c r="J50" s="53" t="s">
        <v>165</v>
      </c>
      <c r="K50" s="53" t="s">
        <v>166</v>
      </c>
      <c r="L50" s="53" t="s">
        <v>167</v>
      </c>
      <c r="M50" s="58"/>
      <c r="N50" s="57"/>
      <c r="O50" s="57"/>
      <c r="P50" s="57"/>
      <c r="Q50" s="57"/>
      <c r="R50" s="57"/>
      <c r="S50" s="57"/>
      <c r="T50" s="57"/>
      <c r="U50" s="57"/>
      <c r="V50" s="57"/>
      <c r="W50" s="57"/>
      <c r="X50" s="57"/>
      <c r="Y50" s="57"/>
      <c r="Z50" s="57"/>
      <c r="AA50" s="57"/>
      <c r="AB50" s="57"/>
      <c r="AC50" s="57"/>
      <c r="AD50" s="57"/>
      <c r="AE50" s="57"/>
      <c r="AF50" s="57"/>
      <c r="AG50" s="57"/>
      <c r="AH50" s="57"/>
      <c r="AI50" s="57"/>
      <c r="AJ50" s="57"/>
      <c r="AK50" s="57"/>
      <c r="AL50" s="57"/>
      <c r="AM50" s="57"/>
      <c r="AN50" s="57"/>
      <c r="AO50" s="57"/>
      <c r="AP50" s="57"/>
      <c r="AQ50" s="57"/>
      <c r="AR50" s="57"/>
      <c r="AS50" s="57"/>
      <c r="AT50" s="57"/>
      <c r="AU50" s="57"/>
      <c r="AV50" s="57"/>
      <c r="AW50" s="57"/>
      <c r="AX50" s="57"/>
      <c r="AY50" s="57"/>
      <c r="AZ50" s="57"/>
      <c r="BA50" s="57"/>
      <c r="BB50" s="57"/>
      <c r="BC50" s="57"/>
      <c r="BD50" s="57"/>
      <c r="BE50" s="57"/>
      <c r="BF50" s="57"/>
      <c r="BG50" s="57"/>
      <c r="BH50" s="57"/>
      <c r="BI50" s="57"/>
      <c r="BJ50" s="57"/>
      <c r="BK50" s="57"/>
      <c r="BL50" s="57"/>
      <c r="BM50" s="57"/>
      <c r="BN50" s="57"/>
      <c r="BO50" s="57"/>
      <c r="BP50" s="57"/>
      <c r="BQ50" s="57"/>
      <c r="BR50" s="57"/>
      <c r="BS50" s="57"/>
      <c r="BT50" s="57"/>
      <c r="BU50" s="57"/>
      <c r="BV50" s="57"/>
      <c r="BW50" s="57"/>
      <c r="BX50" s="57"/>
      <c r="BY50" s="57"/>
      <c r="BZ50" s="57"/>
      <c r="CA50" s="57"/>
      <c r="CB50" s="57"/>
      <c r="CC50" s="57"/>
      <c r="CD50" s="57"/>
      <c r="CE50" s="57"/>
      <c r="CF50" s="57"/>
      <c r="CG50" s="57"/>
      <c r="CH50" s="57"/>
      <c r="CI50" s="57"/>
      <c r="CJ50" s="57"/>
      <c r="CK50" s="57"/>
      <c r="CL50" s="57"/>
      <c r="CM50" s="57"/>
      <c r="CN50" s="57"/>
      <c r="CO50" s="57"/>
      <c r="CP50" s="49">
        <f t="shared" si="0"/>
        <v>0</v>
      </c>
      <c r="CQ50" s="49">
        <f t="shared" si="1"/>
        <v>0</v>
      </c>
      <c r="CR50" s="47">
        <f t="shared" si="2"/>
        <v>0</v>
      </c>
      <c r="CS50" s="48">
        <f t="shared" si="3"/>
        <v>0</v>
      </c>
    </row>
    <row r="51" spans="2:97" ht="26.25" thickBot="1" x14ac:dyDescent="0.3">
      <c r="B51" s="184"/>
      <c r="C51" s="37">
        <v>47</v>
      </c>
      <c r="D51" s="62"/>
      <c r="E51" s="62"/>
      <c r="F51" s="60"/>
      <c r="G51" s="61"/>
      <c r="H51" s="53" t="s">
        <v>163</v>
      </c>
      <c r="I51" s="53" t="s">
        <v>164</v>
      </c>
      <c r="J51" s="53" t="s">
        <v>165</v>
      </c>
      <c r="K51" s="53" t="s">
        <v>166</v>
      </c>
      <c r="L51" s="53" t="s">
        <v>167</v>
      </c>
      <c r="M51" s="58"/>
      <c r="N51" s="57"/>
      <c r="O51" s="57"/>
      <c r="P51" s="57"/>
      <c r="Q51" s="57"/>
      <c r="R51" s="57"/>
      <c r="S51" s="57"/>
      <c r="T51" s="57"/>
      <c r="U51" s="57"/>
      <c r="V51" s="57"/>
      <c r="W51" s="57"/>
      <c r="X51" s="57"/>
      <c r="Y51" s="57"/>
      <c r="Z51" s="57"/>
      <c r="AA51" s="57"/>
      <c r="AB51" s="57"/>
      <c r="AC51" s="57"/>
      <c r="AD51" s="57"/>
      <c r="AE51" s="57"/>
      <c r="AF51" s="57"/>
      <c r="AG51" s="57"/>
      <c r="AH51" s="57"/>
      <c r="AI51" s="57"/>
      <c r="AJ51" s="57"/>
      <c r="AK51" s="57"/>
      <c r="AL51" s="57"/>
      <c r="AM51" s="57"/>
      <c r="AN51" s="57"/>
      <c r="AO51" s="57"/>
      <c r="AP51" s="57"/>
      <c r="AQ51" s="57"/>
      <c r="AR51" s="57"/>
      <c r="AS51" s="57"/>
      <c r="AT51" s="57"/>
      <c r="AU51" s="57"/>
      <c r="AV51" s="57"/>
      <c r="AW51" s="57"/>
      <c r="AX51" s="57"/>
      <c r="AY51" s="57"/>
      <c r="AZ51" s="57"/>
      <c r="BA51" s="57"/>
      <c r="BB51" s="57"/>
      <c r="BC51" s="57"/>
      <c r="BD51" s="57"/>
      <c r="BE51" s="57"/>
      <c r="BF51" s="57"/>
      <c r="BG51" s="57"/>
      <c r="BH51" s="57"/>
      <c r="BI51" s="57"/>
      <c r="BJ51" s="57"/>
      <c r="BK51" s="57"/>
      <c r="BL51" s="57"/>
      <c r="BM51" s="57"/>
      <c r="BN51" s="57"/>
      <c r="BO51" s="57"/>
      <c r="BP51" s="57"/>
      <c r="BQ51" s="57"/>
      <c r="BR51" s="57"/>
      <c r="BS51" s="57"/>
      <c r="BT51" s="57"/>
      <c r="BU51" s="57"/>
      <c r="BV51" s="57"/>
      <c r="BW51" s="57"/>
      <c r="BX51" s="57"/>
      <c r="BY51" s="57"/>
      <c r="BZ51" s="57"/>
      <c r="CA51" s="57"/>
      <c r="CB51" s="57"/>
      <c r="CC51" s="57"/>
      <c r="CD51" s="57"/>
      <c r="CE51" s="57"/>
      <c r="CF51" s="57"/>
      <c r="CG51" s="57"/>
      <c r="CH51" s="57"/>
      <c r="CI51" s="57"/>
      <c r="CJ51" s="57"/>
      <c r="CK51" s="57"/>
      <c r="CL51" s="57"/>
      <c r="CM51" s="57"/>
      <c r="CN51" s="57"/>
      <c r="CO51" s="57"/>
      <c r="CP51" s="49">
        <f t="shared" si="0"/>
        <v>0</v>
      </c>
      <c r="CQ51" s="49">
        <f t="shared" si="1"/>
        <v>0</v>
      </c>
      <c r="CR51" s="47">
        <f t="shared" si="2"/>
        <v>0</v>
      </c>
      <c r="CS51" s="48">
        <f t="shared" si="3"/>
        <v>0</v>
      </c>
    </row>
    <row r="52" spans="2:97" ht="26.25" thickBot="1" x14ac:dyDescent="0.3">
      <c r="B52" s="184"/>
      <c r="C52" s="37">
        <v>48</v>
      </c>
      <c r="D52" s="62"/>
      <c r="E52" s="62"/>
      <c r="F52" s="60"/>
      <c r="G52" s="61"/>
      <c r="H52" s="53" t="s">
        <v>163</v>
      </c>
      <c r="I52" s="53" t="s">
        <v>164</v>
      </c>
      <c r="J52" s="53" t="s">
        <v>165</v>
      </c>
      <c r="K52" s="53" t="s">
        <v>166</v>
      </c>
      <c r="L52" s="53" t="s">
        <v>167</v>
      </c>
      <c r="M52" s="58"/>
      <c r="N52" s="57"/>
      <c r="O52" s="57"/>
      <c r="P52" s="57"/>
      <c r="Q52" s="57"/>
      <c r="R52" s="57"/>
      <c r="S52" s="57"/>
      <c r="T52" s="57"/>
      <c r="U52" s="57"/>
      <c r="V52" s="57"/>
      <c r="W52" s="57"/>
      <c r="X52" s="57"/>
      <c r="Y52" s="57"/>
      <c r="Z52" s="57"/>
      <c r="AA52" s="57"/>
      <c r="AB52" s="57"/>
      <c r="AC52" s="57"/>
      <c r="AD52" s="57"/>
      <c r="AE52" s="57"/>
      <c r="AF52" s="57"/>
      <c r="AG52" s="57"/>
      <c r="AH52" s="57"/>
      <c r="AI52" s="57"/>
      <c r="AJ52" s="57"/>
      <c r="AK52" s="57"/>
      <c r="AL52" s="57"/>
      <c r="AM52" s="57"/>
      <c r="AN52" s="57"/>
      <c r="AO52" s="57"/>
      <c r="AP52" s="57"/>
      <c r="AQ52" s="57"/>
      <c r="AR52" s="57"/>
      <c r="AS52" s="57"/>
      <c r="AT52" s="57"/>
      <c r="AU52" s="57"/>
      <c r="AV52" s="57"/>
      <c r="AW52" s="57"/>
      <c r="AX52" s="57"/>
      <c r="AY52" s="57"/>
      <c r="AZ52" s="57"/>
      <c r="BA52" s="57"/>
      <c r="BB52" s="57"/>
      <c r="BC52" s="57"/>
      <c r="BD52" s="57"/>
      <c r="BE52" s="57"/>
      <c r="BF52" s="57"/>
      <c r="BG52" s="57"/>
      <c r="BH52" s="57"/>
      <c r="BI52" s="57"/>
      <c r="BJ52" s="57"/>
      <c r="BK52" s="57"/>
      <c r="BL52" s="57"/>
      <c r="BM52" s="57"/>
      <c r="BN52" s="57"/>
      <c r="BO52" s="57"/>
      <c r="BP52" s="57"/>
      <c r="BQ52" s="57"/>
      <c r="BR52" s="57"/>
      <c r="BS52" s="57"/>
      <c r="BT52" s="57"/>
      <c r="BU52" s="57"/>
      <c r="BV52" s="57"/>
      <c r="BW52" s="57"/>
      <c r="BX52" s="57"/>
      <c r="BY52" s="57"/>
      <c r="BZ52" s="57"/>
      <c r="CA52" s="57"/>
      <c r="CB52" s="57"/>
      <c r="CC52" s="57"/>
      <c r="CD52" s="57"/>
      <c r="CE52" s="57"/>
      <c r="CF52" s="57"/>
      <c r="CG52" s="57"/>
      <c r="CH52" s="57"/>
      <c r="CI52" s="57"/>
      <c r="CJ52" s="57"/>
      <c r="CK52" s="57"/>
      <c r="CL52" s="57"/>
      <c r="CM52" s="57"/>
      <c r="CN52" s="57"/>
      <c r="CO52" s="57"/>
      <c r="CP52" s="49">
        <f t="shared" si="0"/>
        <v>0</v>
      </c>
      <c r="CQ52" s="49">
        <f t="shared" si="1"/>
        <v>0</v>
      </c>
      <c r="CR52" s="47">
        <f t="shared" si="2"/>
        <v>0</v>
      </c>
      <c r="CS52" s="48">
        <f t="shared" si="3"/>
        <v>0</v>
      </c>
    </row>
    <row r="53" spans="2:97" ht="26.25" thickBot="1" x14ac:dyDescent="0.3">
      <c r="B53" s="184"/>
      <c r="C53" s="37">
        <v>49</v>
      </c>
      <c r="D53" s="62"/>
      <c r="E53" s="62"/>
      <c r="F53" s="60"/>
      <c r="G53" s="61"/>
      <c r="H53" s="53" t="s">
        <v>163</v>
      </c>
      <c r="I53" s="53" t="s">
        <v>164</v>
      </c>
      <c r="J53" s="53" t="s">
        <v>165</v>
      </c>
      <c r="K53" s="53" t="s">
        <v>166</v>
      </c>
      <c r="L53" s="53" t="s">
        <v>167</v>
      </c>
      <c r="M53" s="58"/>
      <c r="N53" s="57"/>
      <c r="O53" s="57"/>
      <c r="P53" s="57"/>
      <c r="Q53" s="57"/>
      <c r="R53" s="57"/>
      <c r="S53" s="57"/>
      <c r="T53" s="57"/>
      <c r="U53" s="57"/>
      <c r="V53" s="57"/>
      <c r="W53" s="57"/>
      <c r="X53" s="57"/>
      <c r="Y53" s="57"/>
      <c r="Z53" s="57"/>
      <c r="AA53" s="57"/>
      <c r="AB53" s="57"/>
      <c r="AC53" s="57"/>
      <c r="AD53" s="57"/>
      <c r="AE53" s="57"/>
      <c r="AF53" s="57"/>
      <c r="AG53" s="57"/>
      <c r="AH53" s="57"/>
      <c r="AI53" s="57"/>
      <c r="AJ53" s="57"/>
      <c r="AK53" s="57"/>
      <c r="AL53" s="57"/>
      <c r="AM53" s="57"/>
      <c r="AN53" s="57"/>
      <c r="AO53" s="57"/>
      <c r="AP53" s="57"/>
      <c r="AQ53" s="57"/>
      <c r="AR53" s="57"/>
      <c r="AS53" s="57"/>
      <c r="AT53" s="57"/>
      <c r="AU53" s="57"/>
      <c r="AV53" s="57"/>
      <c r="AW53" s="57"/>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c r="CD53" s="57"/>
      <c r="CE53" s="57"/>
      <c r="CF53" s="57"/>
      <c r="CG53" s="57"/>
      <c r="CH53" s="57"/>
      <c r="CI53" s="57"/>
      <c r="CJ53" s="57"/>
      <c r="CK53" s="57"/>
      <c r="CL53" s="57"/>
      <c r="CM53" s="57"/>
      <c r="CN53" s="57"/>
      <c r="CO53" s="57"/>
      <c r="CP53" s="49">
        <f t="shared" si="0"/>
        <v>0</v>
      </c>
      <c r="CQ53" s="49">
        <f t="shared" si="1"/>
        <v>0</v>
      </c>
      <c r="CR53" s="47">
        <f t="shared" si="2"/>
        <v>0</v>
      </c>
      <c r="CS53" s="48">
        <f t="shared" si="3"/>
        <v>0</v>
      </c>
    </row>
    <row r="54" spans="2:97" ht="26.25" thickBot="1" x14ac:dyDescent="0.3">
      <c r="B54" s="185"/>
      <c r="C54" s="54">
        <v>50</v>
      </c>
      <c r="D54" s="62"/>
      <c r="E54" s="62"/>
      <c r="F54" s="60"/>
      <c r="G54" s="61"/>
      <c r="H54" s="53" t="s">
        <v>163</v>
      </c>
      <c r="I54" s="53" t="s">
        <v>164</v>
      </c>
      <c r="J54" s="53" t="s">
        <v>165</v>
      </c>
      <c r="K54" s="53" t="s">
        <v>166</v>
      </c>
      <c r="L54" s="53" t="s">
        <v>167</v>
      </c>
      <c r="M54" s="58"/>
      <c r="N54" s="57"/>
      <c r="O54" s="57"/>
      <c r="P54" s="57"/>
      <c r="Q54" s="57"/>
      <c r="R54" s="57"/>
      <c r="S54" s="57"/>
      <c r="T54" s="57"/>
      <c r="U54" s="57"/>
      <c r="V54" s="57"/>
      <c r="W54" s="57"/>
      <c r="X54" s="57"/>
      <c r="Y54" s="57"/>
      <c r="Z54" s="57"/>
      <c r="AA54" s="57"/>
      <c r="AB54" s="57"/>
      <c r="AC54" s="57"/>
      <c r="AD54" s="57"/>
      <c r="AE54" s="57"/>
      <c r="AF54" s="57"/>
      <c r="AG54" s="57"/>
      <c r="AH54" s="57"/>
      <c r="AI54" s="57"/>
      <c r="AJ54" s="57"/>
      <c r="AK54" s="57"/>
      <c r="AL54" s="57"/>
      <c r="AM54" s="57"/>
      <c r="AN54" s="57"/>
      <c r="AO54" s="57"/>
      <c r="AP54" s="57"/>
      <c r="AQ54" s="57"/>
      <c r="AR54" s="57"/>
      <c r="AS54" s="57"/>
      <c r="AT54" s="57"/>
      <c r="AU54" s="57"/>
      <c r="AV54" s="57"/>
      <c r="AW54" s="57"/>
      <c r="AX54" s="57"/>
      <c r="AY54" s="57"/>
      <c r="AZ54" s="57"/>
      <c r="BA54" s="57"/>
      <c r="BB54" s="57"/>
      <c r="BC54" s="57"/>
      <c r="BD54" s="57"/>
      <c r="BE54" s="57"/>
      <c r="BF54" s="57"/>
      <c r="BG54" s="57"/>
      <c r="BH54" s="57"/>
      <c r="BI54" s="57"/>
      <c r="BJ54" s="57"/>
      <c r="BK54" s="57"/>
      <c r="BL54" s="57"/>
      <c r="BM54" s="57"/>
      <c r="BN54" s="57"/>
      <c r="BO54" s="57"/>
      <c r="BP54" s="57"/>
      <c r="BQ54" s="57"/>
      <c r="BR54" s="57"/>
      <c r="BS54" s="57"/>
      <c r="BT54" s="57"/>
      <c r="BU54" s="57"/>
      <c r="BV54" s="57"/>
      <c r="BW54" s="57"/>
      <c r="BX54" s="57"/>
      <c r="BY54" s="57"/>
      <c r="BZ54" s="57"/>
      <c r="CA54" s="57"/>
      <c r="CB54" s="57"/>
      <c r="CC54" s="57"/>
      <c r="CD54" s="57"/>
      <c r="CE54" s="57"/>
      <c r="CF54" s="57"/>
      <c r="CG54" s="57"/>
      <c r="CH54" s="57"/>
      <c r="CI54" s="57"/>
      <c r="CJ54" s="57"/>
      <c r="CK54" s="57"/>
      <c r="CL54" s="57"/>
      <c r="CM54" s="57"/>
      <c r="CN54" s="57"/>
      <c r="CO54" s="57"/>
      <c r="CP54" s="49">
        <f t="shared" si="0"/>
        <v>0</v>
      </c>
      <c r="CQ54" s="49">
        <f t="shared" si="1"/>
        <v>0</v>
      </c>
      <c r="CR54" s="47">
        <f t="shared" si="2"/>
        <v>0</v>
      </c>
      <c r="CS54" s="48">
        <f t="shared" si="3"/>
        <v>0</v>
      </c>
    </row>
    <row r="55" spans="2:97" ht="26.25" thickBot="1" x14ac:dyDescent="0.3">
      <c r="B55" s="193" t="s">
        <v>80</v>
      </c>
      <c r="C55" s="55">
        <v>1</v>
      </c>
      <c r="D55" s="60" t="s">
        <v>190</v>
      </c>
      <c r="E55" s="60" t="s">
        <v>161</v>
      </c>
      <c r="F55" s="60" t="s">
        <v>162</v>
      </c>
      <c r="G55" s="61"/>
      <c r="H55" s="53" t="s">
        <v>163</v>
      </c>
      <c r="I55" s="53" t="s">
        <v>164</v>
      </c>
      <c r="J55" s="53" t="s">
        <v>165</v>
      </c>
      <c r="K55" s="53" t="s">
        <v>166</v>
      </c>
      <c r="L55" s="53" t="s">
        <v>167</v>
      </c>
      <c r="M55" s="58">
        <v>0.5</v>
      </c>
      <c r="N55" s="57"/>
      <c r="O55" s="57"/>
      <c r="P55" s="57"/>
      <c r="Q55" s="57"/>
      <c r="R55" s="57"/>
      <c r="S55" s="57"/>
      <c r="T55" s="57"/>
      <c r="U55" s="57"/>
      <c r="V55" s="57"/>
      <c r="W55" s="57"/>
      <c r="X55" s="57"/>
      <c r="Y55" s="57"/>
      <c r="Z55" s="57"/>
      <c r="AA55" s="57"/>
      <c r="AB55" s="57"/>
      <c r="AC55" s="57"/>
      <c r="AD55" s="57"/>
      <c r="AE55" s="57"/>
      <c r="AF55" s="57"/>
      <c r="AG55" s="57"/>
      <c r="AH55" s="57"/>
      <c r="AI55" s="57"/>
      <c r="AJ55" s="57"/>
      <c r="AK55" s="57"/>
      <c r="AL55" s="57"/>
      <c r="AM55" s="57"/>
      <c r="AN55" s="57"/>
      <c r="AO55" s="57"/>
      <c r="AP55" s="57"/>
      <c r="AQ55" s="57"/>
      <c r="AR55" s="57"/>
      <c r="AS55" s="57"/>
      <c r="AT55" s="57"/>
      <c r="AU55" s="57"/>
      <c r="AV55" s="57"/>
      <c r="AW55" s="57"/>
      <c r="AX55" s="57"/>
      <c r="AY55" s="57"/>
      <c r="AZ55" s="57"/>
      <c r="BA55" s="57"/>
      <c r="BB55" s="57"/>
      <c r="BC55" s="57"/>
      <c r="BD55" s="57"/>
      <c r="BE55" s="57"/>
      <c r="BF55" s="57"/>
      <c r="BG55" s="57"/>
      <c r="BH55" s="57"/>
      <c r="BI55" s="57"/>
      <c r="BJ55" s="57"/>
      <c r="BK55" s="57"/>
      <c r="BL55" s="57"/>
      <c r="BM55" s="57"/>
      <c r="BN55" s="57"/>
      <c r="BO55" s="57"/>
      <c r="BP55" s="57"/>
      <c r="BQ55" s="57"/>
      <c r="BR55" s="57"/>
      <c r="BS55" s="57"/>
      <c r="BT55" s="57"/>
      <c r="BU55" s="57"/>
      <c r="BV55" s="57"/>
      <c r="BW55" s="57"/>
      <c r="BX55" s="57"/>
      <c r="BY55" s="57"/>
      <c r="BZ55" s="57"/>
      <c r="CA55" s="57"/>
      <c r="CB55" s="57"/>
      <c r="CC55" s="57"/>
      <c r="CD55" s="57"/>
      <c r="CE55" s="57"/>
      <c r="CF55" s="57"/>
      <c r="CG55" s="57"/>
      <c r="CH55" s="57"/>
      <c r="CI55" s="57"/>
      <c r="CJ55" s="57"/>
      <c r="CK55" s="57"/>
      <c r="CL55" s="57"/>
      <c r="CM55" s="57"/>
      <c r="CN55" s="57"/>
      <c r="CO55" s="57"/>
      <c r="CP55" s="49">
        <f t="shared" si="0"/>
        <v>0</v>
      </c>
      <c r="CQ55" s="49">
        <f t="shared" si="1"/>
        <v>0</v>
      </c>
      <c r="CR55" s="47">
        <f t="shared" si="2"/>
        <v>0</v>
      </c>
      <c r="CS55" s="48">
        <f t="shared" si="3"/>
        <v>0</v>
      </c>
    </row>
    <row r="56" spans="2:97" ht="26.25" thickBot="1" x14ac:dyDescent="0.3">
      <c r="B56" s="184"/>
      <c r="C56" s="56">
        <v>2</v>
      </c>
      <c r="D56" s="60" t="s">
        <v>191</v>
      </c>
      <c r="E56" s="60" t="s">
        <v>169</v>
      </c>
      <c r="F56" s="60" t="s">
        <v>192</v>
      </c>
      <c r="G56" s="61"/>
      <c r="H56" s="53" t="s">
        <v>163</v>
      </c>
      <c r="I56" s="53" t="s">
        <v>164</v>
      </c>
      <c r="J56" s="53" t="s">
        <v>165</v>
      </c>
      <c r="K56" s="53" t="s">
        <v>166</v>
      </c>
      <c r="L56" s="53" t="s">
        <v>167</v>
      </c>
      <c r="M56" s="58">
        <v>0.25</v>
      </c>
      <c r="N56" s="57"/>
      <c r="O56" s="57"/>
      <c r="P56" s="57"/>
      <c r="Q56" s="57"/>
      <c r="R56" s="57"/>
      <c r="S56" s="57"/>
      <c r="T56" s="57"/>
      <c r="U56" s="57"/>
      <c r="V56" s="57"/>
      <c r="W56" s="57"/>
      <c r="X56" s="57"/>
      <c r="Y56" s="57"/>
      <c r="Z56" s="57"/>
      <c r="AA56" s="57"/>
      <c r="AB56" s="57"/>
      <c r="AC56" s="57"/>
      <c r="AD56" s="57"/>
      <c r="AE56" s="57"/>
      <c r="AF56" s="57"/>
      <c r="AG56" s="57"/>
      <c r="AH56" s="57"/>
      <c r="AI56" s="57"/>
      <c r="AJ56" s="57"/>
      <c r="AK56" s="57"/>
      <c r="AL56" s="57"/>
      <c r="AM56" s="57"/>
      <c r="AN56" s="57"/>
      <c r="AO56" s="57"/>
      <c r="AP56" s="57"/>
      <c r="AQ56" s="57"/>
      <c r="AR56" s="57"/>
      <c r="AS56" s="57"/>
      <c r="AT56" s="57"/>
      <c r="AU56" s="57"/>
      <c r="AV56" s="57"/>
      <c r="AW56" s="57"/>
      <c r="AX56" s="57"/>
      <c r="AY56" s="57"/>
      <c r="AZ56" s="57"/>
      <c r="BA56" s="57"/>
      <c r="BB56" s="57"/>
      <c r="BC56" s="57"/>
      <c r="BD56" s="57"/>
      <c r="BE56" s="57"/>
      <c r="BF56" s="57"/>
      <c r="BG56" s="57"/>
      <c r="BH56" s="57"/>
      <c r="BI56" s="57"/>
      <c r="BJ56" s="57"/>
      <c r="BK56" s="57"/>
      <c r="BL56" s="57"/>
      <c r="BM56" s="57"/>
      <c r="BN56" s="57"/>
      <c r="BO56" s="57"/>
      <c r="BP56" s="57"/>
      <c r="BQ56" s="57"/>
      <c r="BR56" s="57"/>
      <c r="BS56" s="57"/>
      <c r="BT56" s="57"/>
      <c r="BU56" s="57"/>
      <c r="BV56" s="57"/>
      <c r="BW56" s="57"/>
      <c r="BX56" s="57"/>
      <c r="BY56" s="57"/>
      <c r="BZ56" s="57"/>
      <c r="CA56" s="57"/>
      <c r="CB56" s="57"/>
      <c r="CC56" s="57"/>
      <c r="CD56" s="57"/>
      <c r="CE56" s="57"/>
      <c r="CF56" s="57"/>
      <c r="CG56" s="57"/>
      <c r="CH56" s="57"/>
      <c r="CI56" s="57"/>
      <c r="CJ56" s="57"/>
      <c r="CK56" s="57"/>
      <c r="CL56" s="57"/>
      <c r="CM56" s="57"/>
      <c r="CN56" s="57"/>
      <c r="CO56" s="57"/>
      <c r="CP56" s="49">
        <f t="shared" si="0"/>
        <v>0</v>
      </c>
      <c r="CQ56" s="49">
        <f t="shared" si="1"/>
        <v>0</v>
      </c>
      <c r="CR56" s="47">
        <f t="shared" si="2"/>
        <v>0</v>
      </c>
      <c r="CS56" s="48">
        <f t="shared" si="3"/>
        <v>0</v>
      </c>
    </row>
    <row r="57" spans="2:97" ht="26.25" thickBot="1" x14ac:dyDescent="0.3">
      <c r="B57" s="184"/>
      <c r="C57" s="56">
        <v>3</v>
      </c>
      <c r="D57" s="60" t="s">
        <v>193</v>
      </c>
      <c r="E57" s="60" t="s">
        <v>172</v>
      </c>
      <c r="F57" s="60" t="s">
        <v>194</v>
      </c>
      <c r="G57" s="61"/>
      <c r="H57" s="53" t="s">
        <v>163</v>
      </c>
      <c r="I57" s="53" t="s">
        <v>164</v>
      </c>
      <c r="J57" s="53" t="s">
        <v>165</v>
      </c>
      <c r="K57" s="53" t="s">
        <v>166</v>
      </c>
      <c r="L57" s="53" t="s">
        <v>167</v>
      </c>
      <c r="M57" s="58">
        <v>0.25</v>
      </c>
      <c r="N57" s="57"/>
      <c r="O57" s="57"/>
      <c r="P57" s="57"/>
      <c r="Q57" s="57"/>
      <c r="R57" s="57"/>
      <c r="S57" s="57"/>
      <c r="T57" s="57"/>
      <c r="U57" s="57"/>
      <c r="V57" s="57"/>
      <c r="W57" s="57"/>
      <c r="X57" s="57"/>
      <c r="Y57" s="57"/>
      <c r="Z57" s="57"/>
      <c r="AA57" s="57"/>
      <c r="AB57" s="57"/>
      <c r="AC57" s="57"/>
      <c r="AD57" s="57"/>
      <c r="AE57" s="57"/>
      <c r="AF57" s="57"/>
      <c r="AG57" s="57"/>
      <c r="AH57" s="57"/>
      <c r="AI57" s="57"/>
      <c r="AJ57" s="57"/>
      <c r="AK57" s="57"/>
      <c r="AL57" s="57"/>
      <c r="AM57" s="57"/>
      <c r="AN57" s="57"/>
      <c r="AO57" s="57"/>
      <c r="AP57" s="57"/>
      <c r="AQ57" s="57"/>
      <c r="AR57" s="57"/>
      <c r="AS57" s="57"/>
      <c r="AT57" s="57"/>
      <c r="AU57" s="57"/>
      <c r="AV57" s="57"/>
      <c r="AW57" s="57"/>
      <c r="AX57" s="57"/>
      <c r="AY57" s="57"/>
      <c r="AZ57" s="57"/>
      <c r="BA57" s="57"/>
      <c r="BB57" s="57"/>
      <c r="BC57" s="57"/>
      <c r="BD57" s="57"/>
      <c r="BE57" s="57"/>
      <c r="BF57" s="57"/>
      <c r="BG57" s="57"/>
      <c r="BH57" s="57"/>
      <c r="BI57" s="57"/>
      <c r="BJ57" s="57"/>
      <c r="BK57" s="57"/>
      <c r="BL57" s="57"/>
      <c r="BM57" s="57"/>
      <c r="BN57" s="57"/>
      <c r="BO57" s="57"/>
      <c r="BP57" s="57"/>
      <c r="BQ57" s="57"/>
      <c r="BR57" s="57"/>
      <c r="BS57" s="57"/>
      <c r="BT57" s="57"/>
      <c r="BU57" s="57"/>
      <c r="BV57" s="57"/>
      <c r="BW57" s="57"/>
      <c r="BX57" s="57"/>
      <c r="BY57" s="57"/>
      <c r="BZ57" s="57"/>
      <c r="CA57" s="57"/>
      <c r="CB57" s="57"/>
      <c r="CC57" s="57"/>
      <c r="CD57" s="57"/>
      <c r="CE57" s="57"/>
      <c r="CF57" s="57"/>
      <c r="CG57" s="57"/>
      <c r="CH57" s="57"/>
      <c r="CI57" s="57"/>
      <c r="CJ57" s="57"/>
      <c r="CK57" s="57"/>
      <c r="CL57" s="57"/>
      <c r="CM57" s="57"/>
      <c r="CN57" s="57"/>
      <c r="CO57" s="57"/>
      <c r="CP57" s="49">
        <f t="shared" si="0"/>
        <v>0</v>
      </c>
      <c r="CQ57" s="49">
        <f t="shared" si="1"/>
        <v>0</v>
      </c>
      <c r="CR57" s="47">
        <f t="shared" si="2"/>
        <v>0</v>
      </c>
      <c r="CS57" s="48">
        <f t="shared" si="3"/>
        <v>0</v>
      </c>
    </row>
    <row r="58" spans="2:97" ht="26.25" thickBot="1" x14ac:dyDescent="0.3">
      <c r="B58" s="184"/>
      <c r="C58" s="56">
        <v>4</v>
      </c>
      <c r="D58" s="60"/>
      <c r="E58" s="60"/>
      <c r="F58" s="60"/>
      <c r="G58" s="61"/>
      <c r="H58" s="53" t="s">
        <v>163</v>
      </c>
      <c r="I58" s="53" t="s">
        <v>164</v>
      </c>
      <c r="J58" s="53" t="s">
        <v>165</v>
      </c>
      <c r="K58" s="53" t="s">
        <v>166</v>
      </c>
      <c r="L58" s="53" t="s">
        <v>167</v>
      </c>
      <c r="M58" s="58"/>
      <c r="N58" s="57"/>
      <c r="O58" s="57"/>
      <c r="P58" s="57"/>
      <c r="Q58" s="57"/>
      <c r="R58" s="57"/>
      <c r="S58" s="57"/>
      <c r="T58" s="57"/>
      <c r="U58" s="57"/>
      <c r="V58" s="57"/>
      <c r="W58" s="57"/>
      <c r="X58" s="57"/>
      <c r="Y58" s="57"/>
      <c r="Z58" s="57"/>
      <c r="AA58" s="57"/>
      <c r="AB58" s="57"/>
      <c r="AC58" s="57"/>
      <c r="AD58" s="57"/>
      <c r="AE58" s="57"/>
      <c r="AF58" s="57"/>
      <c r="AG58" s="57"/>
      <c r="AH58" s="57"/>
      <c r="AI58" s="57"/>
      <c r="AJ58" s="57"/>
      <c r="AK58" s="57"/>
      <c r="AL58" s="57"/>
      <c r="AM58" s="57"/>
      <c r="AN58" s="57"/>
      <c r="AO58" s="57"/>
      <c r="AP58" s="57"/>
      <c r="AQ58" s="57"/>
      <c r="AR58" s="57"/>
      <c r="AS58" s="57"/>
      <c r="AT58" s="57"/>
      <c r="AU58" s="57"/>
      <c r="AV58" s="57"/>
      <c r="AW58" s="57"/>
      <c r="AX58" s="57"/>
      <c r="AY58" s="57"/>
      <c r="AZ58" s="57"/>
      <c r="BA58" s="57"/>
      <c r="BB58" s="57"/>
      <c r="BC58" s="57"/>
      <c r="BD58" s="57"/>
      <c r="BE58" s="57"/>
      <c r="BF58" s="57"/>
      <c r="BG58" s="57"/>
      <c r="BH58" s="57"/>
      <c r="BI58" s="57"/>
      <c r="BJ58" s="57"/>
      <c r="BK58" s="57"/>
      <c r="BL58" s="57"/>
      <c r="BM58" s="57"/>
      <c r="BN58" s="57"/>
      <c r="BO58" s="57"/>
      <c r="BP58" s="57"/>
      <c r="BQ58" s="57"/>
      <c r="BR58" s="57"/>
      <c r="BS58" s="57"/>
      <c r="BT58" s="57"/>
      <c r="BU58" s="57"/>
      <c r="BV58" s="57"/>
      <c r="BW58" s="57"/>
      <c r="BX58" s="57"/>
      <c r="BY58" s="57"/>
      <c r="BZ58" s="57"/>
      <c r="CA58" s="57"/>
      <c r="CB58" s="57"/>
      <c r="CC58" s="57"/>
      <c r="CD58" s="57"/>
      <c r="CE58" s="57"/>
      <c r="CF58" s="57"/>
      <c r="CG58" s="57"/>
      <c r="CH58" s="57"/>
      <c r="CI58" s="57"/>
      <c r="CJ58" s="57"/>
      <c r="CK58" s="57"/>
      <c r="CL58" s="57"/>
      <c r="CM58" s="57"/>
      <c r="CN58" s="57"/>
      <c r="CO58" s="57"/>
      <c r="CP58" s="49">
        <f t="shared" si="0"/>
        <v>0</v>
      </c>
      <c r="CQ58" s="49">
        <f t="shared" si="1"/>
        <v>0</v>
      </c>
      <c r="CR58" s="47">
        <f t="shared" si="2"/>
        <v>0</v>
      </c>
      <c r="CS58" s="48">
        <f t="shared" si="3"/>
        <v>0</v>
      </c>
    </row>
    <row r="59" spans="2:97" ht="26.25" thickBot="1" x14ac:dyDescent="0.3">
      <c r="B59" s="184"/>
      <c r="C59" s="56">
        <v>5</v>
      </c>
      <c r="D59" s="60"/>
      <c r="E59" s="60"/>
      <c r="F59" s="60"/>
      <c r="G59" s="61"/>
      <c r="H59" s="53" t="s">
        <v>163</v>
      </c>
      <c r="I59" s="53" t="s">
        <v>164</v>
      </c>
      <c r="J59" s="53" t="s">
        <v>165</v>
      </c>
      <c r="K59" s="53" t="s">
        <v>166</v>
      </c>
      <c r="L59" s="53" t="s">
        <v>167</v>
      </c>
      <c r="M59" s="58"/>
      <c r="N59" s="57"/>
      <c r="O59" s="57"/>
      <c r="P59" s="57"/>
      <c r="Q59" s="57"/>
      <c r="R59" s="57"/>
      <c r="S59" s="57"/>
      <c r="T59" s="57"/>
      <c r="U59" s="57"/>
      <c r="V59" s="57"/>
      <c r="W59" s="57"/>
      <c r="X59" s="57"/>
      <c r="Y59" s="57"/>
      <c r="Z59" s="57"/>
      <c r="AA59" s="57"/>
      <c r="AB59" s="57"/>
      <c r="AC59" s="57"/>
      <c r="AD59" s="57"/>
      <c r="AE59" s="57"/>
      <c r="AF59" s="57"/>
      <c r="AG59" s="57"/>
      <c r="AH59" s="57"/>
      <c r="AI59" s="57"/>
      <c r="AJ59" s="57"/>
      <c r="AK59" s="57"/>
      <c r="AL59" s="57"/>
      <c r="AM59" s="57"/>
      <c r="AN59" s="57"/>
      <c r="AO59" s="57"/>
      <c r="AP59" s="57"/>
      <c r="AQ59" s="57"/>
      <c r="AR59" s="57"/>
      <c r="AS59" s="57"/>
      <c r="AT59" s="57"/>
      <c r="AU59" s="57"/>
      <c r="AV59" s="57"/>
      <c r="AW59" s="57"/>
      <c r="AX59" s="57"/>
      <c r="AY59" s="57"/>
      <c r="AZ59" s="57"/>
      <c r="BA59" s="57"/>
      <c r="BB59" s="57"/>
      <c r="BC59" s="57"/>
      <c r="BD59" s="57"/>
      <c r="BE59" s="57"/>
      <c r="BF59" s="57"/>
      <c r="BG59" s="57"/>
      <c r="BH59" s="57"/>
      <c r="BI59" s="57"/>
      <c r="BJ59" s="57"/>
      <c r="BK59" s="57"/>
      <c r="BL59" s="57"/>
      <c r="BM59" s="57"/>
      <c r="BN59" s="57"/>
      <c r="BO59" s="57"/>
      <c r="BP59" s="57"/>
      <c r="BQ59" s="57"/>
      <c r="BR59" s="57"/>
      <c r="BS59" s="57"/>
      <c r="BT59" s="57"/>
      <c r="BU59" s="57"/>
      <c r="BV59" s="57"/>
      <c r="BW59" s="57"/>
      <c r="BX59" s="57"/>
      <c r="BY59" s="57"/>
      <c r="BZ59" s="57"/>
      <c r="CA59" s="57"/>
      <c r="CB59" s="57"/>
      <c r="CC59" s="57"/>
      <c r="CD59" s="57"/>
      <c r="CE59" s="57"/>
      <c r="CF59" s="57"/>
      <c r="CG59" s="57"/>
      <c r="CH59" s="57"/>
      <c r="CI59" s="57"/>
      <c r="CJ59" s="57"/>
      <c r="CK59" s="57"/>
      <c r="CL59" s="57"/>
      <c r="CM59" s="57"/>
      <c r="CN59" s="57"/>
      <c r="CO59" s="57"/>
      <c r="CP59" s="49">
        <f t="shared" si="0"/>
        <v>0</v>
      </c>
      <c r="CQ59" s="49">
        <f t="shared" si="1"/>
        <v>0</v>
      </c>
      <c r="CR59" s="47">
        <f t="shared" si="2"/>
        <v>0</v>
      </c>
      <c r="CS59" s="48">
        <f t="shared" si="3"/>
        <v>0</v>
      </c>
    </row>
    <row r="60" spans="2:97" ht="26.25" thickBot="1" x14ac:dyDescent="0.3">
      <c r="B60" s="184"/>
      <c r="C60" s="56">
        <v>6</v>
      </c>
      <c r="D60" s="60"/>
      <c r="E60" s="60"/>
      <c r="F60" s="60"/>
      <c r="G60" s="61"/>
      <c r="H60" s="53" t="s">
        <v>163</v>
      </c>
      <c r="I60" s="53" t="s">
        <v>164</v>
      </c>
      <c r="J60" s="53" t="s">
        <v>165</v>
      </c>
      <c r="K60" s="53" t="s">
        <v>166</v>
      </c>
      <c r="L60" s="53" t="s">
        <v>167</v>
      </c>
      <c r="M60" s="58"/>
      <c r="N60" s="57"/>
      <c r="O60" s="57"/>
      <c r="P60" s="57"/>
      <c r="Q60" s="57"/>
      <c r="R60" s="57"/>
      <c r="S60" s="57"/>
      <c r="T60" s="57"/>
      <c r="U60" s="57"/>
      <c r="V60" s="57"/>
      <c r="W60" s="57"/>
      <c r="X60" s="57"/>
      <c r="Y60" s="57"/>
      <c r="Z60" s="57"/>
      <c r="AA60" s="57"/>
      <c r="AB60" s="57"/>
      <c r="AC60" s="57"/>
      <c r="AD60" s="57"/>
      <c r="AE60" s="57"/>
      <c r="AF60" s="57"/>
      <c r="AG60" s="57"/>
      <c r="AH60" s="57"/>
      <c r="AI60" s="57"/>
      <c r="AJ60" s="57"/>
      <c r="AK60" s="57"/>
      <c r="AL60" s="57"/>
      <c r="AM60" s="57"/>
      <c r="AN60" s="57"/>
      <c r="AO60" s="57"/>
      <c r="AP60" s="57"/>
      <c r="AQ60" s="57"/>
      <c r="AR60" s="57"/>
      <c r="AS60" s="57"/>
      <c r="AT60" s="57"/>
      <c r="AU60" s="57"/>
      <c r="AV60" s="57"/>
      <c r="AW60" s="57"/>
      <c r="AX60" s="57"/>
      <c r="AY60" s="57"/>
      <c r="AZ60" s="57"/>
      <c r="BA60" s="57"/>
      <c r="BB60" s="57"/>
      <c r="BC60" s="57"/>
      <c r="BD60" s="57"/>
      <c r="BE60" s="57"/>
      <c r="BF60" s="57"/>
      <c r="BG60" s="57"/>
      <c r="BH60" s="57"/>
      <c r="BI60" s="57"/>
      <c r="BJ60" s="57"/>
      <c r="BK60" s="57"/>
      <c r="BL60" s="57"/>
      <c r="BM60" s="57"/>
      <c r="BN60" s="57"/>
      <c r="BO60" s="57"/>
      <c r="BP60" s="57"/>
      <c r="BQ60" s="57"/>
      <c r="BR60" s="57"/>
      <c r="BS60" s="57"/>
      <c r="BT60" s="57"/>
      <c r="BU60" s="57"/>
      <c r="BV60" s="57"/>
      <c r="BW60" s="57"/>
      <c r="BX60" s="57"/>
      <c r="BY60" s="57"/>
      <c r="BZ60" s="57"/>
      <c r="CA60" s="57"/>
      <c r="CB60" s="57"/>
      <c r="CC60" s="57"/>
      <c r="CD60" s="57"/>
      <c r="CE60" s="57"/>
      <c r="CF60" s="57"/>
      <c r="CG60" s="57"/>
      <c r="CH60" s="57"/>
      <c r="CI60" s="57"/>
      <c r="CJ60" s="57"/>
      <c r="CK60" s="57"/>
      <c r="CL60" s="57"/>
      <c r="CM60" s="57"/>
      <c r="CN60" s="57"/>
      <c r="CO60" s="57"/>
      <c r="CP60" s="49">
        <f t="shared" si="0"/>
        <v>0</v>
      </c>
      <c r="CQ60" s="49">
        <f t="shared" si="1"/>
        <v>0</v>
      </c>
      <c r="CR60" s="47">
        <f t="shared" si="2"/>
        <v>0</v>
      </c>
      <c r="CS60" s="48">
        <f t="shared" si="3"/>
        <v>0</v>
      </c>
    </row>
    <row r="61" spans="2:97" ht="26.25" thickBot="1" x14ac:dyDescent="0.3">
      <c r="B61" s="184"/>
      <c r="C61" s="56">
        <v>7</v>
      </c>
      <c r="D61" s="60"/>
      <c r="E61" s="60"/>
      <c r="F61" s="60"/>
      <c r="G61" s="61"/>
      <c r="H61" s="53" t="s">
        <v>163</v>
      </c>
      <c r="I61" s="53" t="s">
        <v>164</v>
      </c>
      <c r="J61" s="53" t="s">
        <v>165</v>
      </c>
      <c r="K61" s="53" t="s">
        <v>166</v>
      </c>
      <c r="L61" s="53" t="s">
        <v>167</v>
      </c>
      <c r="M61" s="58"/>
      <c r="N61" s="57"/>
      <c r="O61" s="57"/>
      <c r="P61" s="57"/>
      <c r="Q61" s="57"/>
      <c r="R61" s="57"/>
      <c r="S61" s="57"/>
      <c r="T61" s="57"/>
      <c r="U61" s="57"/>
      <c r="V61" s="57"/>
      <c r="W61" s="57"/>
      <c r="X61" s="57"/>
      <c r="Y61" s="57"/>
      <c r="Z61" s="57"/>
      <c r="AA61" s="57"/>
      <c r="AB61" s="57"/>
      <c r="AC61" s="57"/>
      <c r="AD61" s="57"/>
      <c r="AE61" s="57"/>
      <c r="AF61" s="57"/>
      <c r="AG61" s="57"/>
      <c r="AH61" s="57"/>
      <c r="AI61" s="57"/>
      <c r="AJ61" s="57"/>
      <c r="AK61" s="57"/>
      <c r="AL61" s="57"/>
      <c r="AM61" s="57"/>
      <c r="AN61" s="57"/>
      <c r="AO61" s="57"/>
      <c r="AP61" s="57"/>
      <c r="AQ61" s="57"/>
      <c r="AR61" s="57"/>
      <c r="AS61" s="57"/>
      <c r="AT61" s="57"/>
      <c r="AU61" s="57"/>
      <c r="AV61" s="57"/>
      <c r="AW61" s="57"/>
      <c r="AX61" s="57"/>
      <c r="AY61" s="57"/>
      <c r="AZ61" s="57"/>
      <c r="BA61" s="57"/>
      <c r="BB61" s="57"/>
      <c r="BC61" s="57"/>
      <c r="BD61" s="57"/>
      <c r="BE61" s="57"/>
      <c r="BF61" s="57"/>
      <c r="BG61" s="57"/>
      <c r="BH61" s="57"/>
      <c r="BI61" s="57"/>
      <c r="BJ61" s="57"/>
      <c r="BK61" s="57"/>
      <c r="BL61" s="57"/>
      <c r="BM61" s="57"/>
      <c r="BN61" s="57"/>
      <c r="BO61" s="57"/>
      <c r="BP61" s="57"/>
      <c r="BQ61" s="57"/>
      <c r="BR61" s="57"/>
      <c r="BS61" s="57"/>
      <c r="BT61" s="57"/>
      <c r="BU61" s="57"/>
      <c r="BV61" s="57"/>
      <c r="BW61" s="57"/>
      <c r="BX61" s="57"/>
      <c r="BY61" s="57"/>
      <c r="BZ61" s="57"/>
      <c r="CA61" s="57"/>
      <c r="CB61" s="57"/>
      <c r="CC61" s="57"/>
      <c r="CD61" s="57"/>
      <c r="CE61" s="57"/>
      <c r="CF61" s="57"/>
      <c r="CG61" s="57"/>
      <c r="CH61" s="57"/>
      <c r="CI61" s="57"/>
      <c r="CJ61" s="57"/>
      <c r="CK61" s="57"/>
      <c r="CL61" s="57"/>
      <c r="CM61" s="57"/>
      <c r="CN61" s="57"/>
      <c r="CO61" s="57"/>
      <c r="CP61" s="49">
        <f t="shared" si="0"/>
        <v>0</v>
      </c>
      <c r="CQ61" s="49">
        <f t="shared" si="1"/>
        <v>0</v>
      </c>
      <c r="CR61" s="47">
        <f t="shared" si="2"/>
        <v>0</v>
      </c>
      <c r="CS61" s="48">
        <f t="shared" si="3"/>
        <v>0</v>
      </c>
    </row>
    <row r="62" spans="2:97" ht="26.25" thickBot="1" x14ac:dyDescent="0.3">
      <c r="B62" s="184"/>
      <c r="C62" s="56">
        <v>8</v>
      </c>
      <c r="D62" s="60"/>
      <c r="E62" s="60"/>
      <c r="F62" s="60"/>
      <c r="G62" s="61"/>
      <c r="H62" s="53" t="s">
        <v>163</v>
      </c>
      <c r="I62" s="53" t="s">
        <v>164</v>
      </c>
      <c r="J62" s="53" t="s">
        <v>165</v>
      </c>
      <c r="K62" s="53" t="s">
        <v>166</v>
      </c>
      <c r="L62" s="53" t="s">
        <v>167</v>
      </c>
      <c r="M62" s="58"/>
      <c r="N62" s="57"/>
      <c r="O62" s="57"/>
      <c r="P62" s="57"/>
      <c r="Q62" s="57"/>
      <c r="R62" s="57"/>
      <c r="S62" s="57"/>
      <c r="T62" s="57"/>
      <c r="U62" s="57"/>
      <c r="V62" s="57"/>
      <c r="W62" s="57"/>
      <c r="X62" s="57"/>
      <c r="Y62" s="57"/>
      <c r="Z62" s="57"/>
      <c r="AA62" s="57"/>
      <c r="AB62" s="57"/>
      <c r="AC62" s="57"/>
      <c r="AD62" s="57"/>
      <c r="AE62" s="57"/>
      <c r="AF62" s="57"/>
      <c r="AG62" s="57"/>
      <c r="AH62" s="57"/>
      <c r="AI62" s="57"/>
      <c r="AJ62" s="57"/>
      <c r="AK62" s="57"/>
      <c r="AL62" s="57"/>
      <c r="AM62" s="57"/>
      <c r="AN62" s="57"/>
      <c r="AO62" s="57"/>
      <c r="AP62" s="57"/>
      <c r="AQ62" s="57"/>
      <c r="AR62" s="57"/>
      <c r="AS62" s="57"/>
      <c r="AT62" s="57"/>
      <c r="AU62" s="57"/>
      <c r="AV62" s="57"/>
      <c r="AW62" s="57"/>
      <c r="AX62" s="57"/>
      <c r="AY62" s="57"/>
      <c r="AZ62" s="57"/>
      <c r="BA62" s="57"/>
      <c r="BB62" s="57"/>
      <c r="BC62" s="57"/>
      <c r="BD62" s="57"/>
      <c r="BE62" s="57"/>
      <c r="BF62" s="57"/>
      <c r="BG62" s="57"/>
      <c r="BH62" s="57"/>
      <c r="BI62" s="57"/>
      <c r="BJ62" s="57"/>
      <c r="BK62" s="57"/>
      <c r="BL62" s="57"/>
      <c r="BM62" s="57"/>
      <c r="BN62" s="57"/>
      <c r="BO62" s="57"/>
      <c r="BP62" s="57"/>
      <c r="BQ62" s="57"/>
      <c r="BR62" s="57"/>
      <c r="BS62" s="57"/>
      <c r="BT62" s="57"/>
      <c r="BU62" s="57"/>
      <c r="BV62" s="57"/>
      <c r="BW62" s="57"/>
      <c r="BX62" s="57"/>
      <c r="BY62" s="57"/>
      <c r="BZ62" s="57"/>
      <c r="CA62" s="57"/>
      <c r="CB62" s="57"/>
      <c r="CC62" s="57"/>
      <c r="CD62" s="57"/>
      <c r="CE62" s="57"/>
      <c r="CF62" s="57"/>
      <c r="CG62" s="57"/>
      <c r="CH62" s="57"/>
      <c r="CI62" s="57"/>
      <c r="CJ62" s="57"/>
      <c r="CK62" s="57"/>
      <c r="CL62" s="57"/>
      <c r="CM62" s="57"/>
      <c r="CN62" s="57"/>
      <c r="CO62" s="57"/>
      <c r="CP62" s="49">
        <f t="shared" si="0"/>
        <v>0</v>
      </c>
      <c r="CQ62" s="49">
        <f t="shared" si="1"/>
        <v>0</v>
      </c>
      <c r="CR62" s="47">
        <f t="shared" si="2"/>
        <v>0</v>
      </c>
      <c r="CS62" s="48">
        <f t="shared" si="3"/>
        <v>0</v>
      </c>
    </row>
    <row r="63" spans="2:97" ht="26.25" thickBot="1" x14ac:dyDescent="0.3">
      <c r="B63" s="184"/>
      <c r="C63" s="56">
        <v>9</v>
      </c>
      <c r="D63" s="60"/>
      <c r="E63" s="60"/>
      <c r="F63" s="60"/>
      <c r="G63" s="61"/>
      <c r="H63" s="53" t="s">
        <v>163</v>
      </c>
      <c r="I63" s="53" t="s">
        <v>164</v>
      </c>
      <c r="J63" s="53" t="s">
        <v>165</v>
      </c>
      <c r="K63" s="53" t="s">
        <v>166</v>
      </c>
      <c r="L63" s="53" t="s">
        <v>167</v>
      </c>
      <c r="M63" s="58"/>
      <c r="N63" s="57"/>
      <c r="O63" s="57"/>
      <c r="P63" s="57"/>
      <c r="Q63" s="57"/>
      <c r="R63" s="57"/>
      <c r="S63" s="57"/>
      <c r="T63" s="57"/>
      <c r="U63" s="57"/>
      <c r="V63" s="57"/>
      <c r="W63" s="57"/>
      <c r="X63" s="57"/>
      <c r="Y63" s="57"/>
      <c r="Z63" s="57"/>
      <c r="AA63" s="57"/>
      <c r="AB63" s="57"/>
      <c r="AC63" s="57"/>
      <c r="AD63" s="57"/>
      <c r="AE63" s="57"/>
      <c r="AF63" s="57"/>
      <c r="AG63" s="57"/>
      <c r="AH63" s="57"/>
      <c r="AI63" s="57"/>
      <c r="AJ63" s="57"/>
      <c r="AK63" s="57"/>
      <c r="AL63" s="57"/>
      <c r="AM63" s="57"/>
      <c r="AN63" s="57"/>
      <c r="AO63" s="57"/>
      <c r="AP63" s="57"/>
      <c r="AQ63" s="57"/>
      <c r="AR63" s="57"/>
      <c r="AS63" s="57"/>
      <c r="AT63" s="57"/>
      <c r="AU63" s="57"/>
      <c r="AV63" s="57"/>
      <c r="AW63" s="57"/>
      <c r="AX63" s="57"/>
      <c r="AY63" s="57"/>
      <c r="AZ63" s="57"/>
      <c r="BA63" s="57"/>
      <c r="BB63" s="57"/>
      <c r="BC63" s="57"/>
      <c r="BD63" s="57"/>
      <c r="BE63" s="57"/>
      <c r="BF63" s="57"/>
      <c r="BG63" s="57"/>
      <c r="BH63" s="57"/>
      <c r="BI63" s="57"/>
      <c r="BJ63" s="57"/>
      <c r="BK63" s="57"/>
      <c r="BL63" s="57"/>
      <c r="BM63" s="57"/>
      <c r="BN63" s="57"/>
      <c r="BO63" s="57"/>
      <c r="BP63" s="57"/>
      <c r="BQ63" s="57"/>
      <c r="BR63" s="57"/>
      <c r="BS63" s="57"/>
      <c r="BT63" s="57"/>
      <c r="BU63" s="57"/>
      <c r="BV63" s="57"/>
      <c r="BW63" s="57"/>
      <c r="BX63" s="57"/>
      <c r="BY63" s="57"/>
      <c r="BZ63" s="57"/>
      <c r="CA63" s="57"/>
      <c r="CB63" s="57"/>
      <c r="CC63" s="57"/>
      <c r="CD63" s="57"/>
      <c r="CE63" s="57"/>
      <c r="CF63" s="57"/>
      <c r="CG63" s="57"/>
      <c r="CH63" s="57"/>
      <c r="CI63" s="57"/>
      <c r="CJ63" s="57"/>
      <c r="CK63" s="57"/>
      <c r="CL63" s="57"/>
      <c r="CM63" s="57"/>
      <c r="CN63" s="57"/>
      <c r="CO63" s="57"/>
      <c r="CP63" s="49">
        <f t="shared" si="0"/>
        <v>0</v>
      </c>
      <c r="CQ63" s="49">
        <f t="shared" si="1"/>
        <v>0</v>
      </c>
      <c r="CR63" s="47">
        <f t="shared" si="2"/>
        <v>0</v>
      </c>
      <c r="CS63" s="48">
        <f t="shared" si="3"/>
        <v>0</v>
      </c>
    </row>
    <row r="64" spans="2:97" ht="26.25" thickBot="1" x14ac:dyDescent="0.3">
      <c r="B64" s="184"/>
      <c r="C64" s="56">
        <v>10</v>
      </c>
      <c r="D64" s="60"/>
      <c r="E64" s="60"/>
      <c r="F64" s="60"/>
      <c r="G64" s="61"/>
      <c r="H64" s="53" t="s">
        <v>163</v>
      </c>
      <c r="I64" s="53" t="s">
        <v>164</v>
      </c>
      <c r="J64" s="53" t="s">
        <v>165</v>
      </c>
      <c r="K64" s="53" t="s">
        <v>166</v>
      </c>
      <c r="L64" s="53" t="s">
        <v>167</v>
      </c>
      <c r="M64" s="58"/>
      <c r="N64" s="57"/>
      <c r="O64" s="57"/>
      <c r="P64" s="57"/>
      <c r="Q64" s="57"/>
      <c r="R64" s="57"/>
      <c r="S64" s="57"/>
      <c r="T64" s="57"/>
      <c r="U64" s="57"/>
      <c r="V64" s="57"/>
      <c r="W64" s="57"/>
      <c r="X64" s="57"/>
      <c r="Y64" s="57"/>
      <c r="Z64" s="57"/>
      <c r="AA64" s="57"/>
      <c r="AB64" s="57"/>
      <c r="AC64" s="57"/>
      <c r="AD64" s="57"/>
      <c r="AE64" s="57"/>
      <c r="AF64" s="57"/>
      <c r="AG64" s="57"/>
      <c r="AH64" s="57"/>
      <c r="AI64" s="57"/>
      <c r="AJ64" s="57"/>
      <c r="AK64" s="57"/>
      <c r="AL64" s="57"/>
      <c r="AM64" s="57"/>
      <c r="AN64" s="57"/>
      <c r="AO64" s="57"/>
      <c r="AP64" s="57"/>
      <c r="AQ64" s="57"/>
      <c r="AR64" s="57"/>
      <c r="AS64" s="57"/>
      <c r="AT64" s="57"/>
      <c r="AU64" s="57"/>
      <c r="AV64" s="57"/>
      <c r="AW64" s="57"/>
      <c r="AX64" s="57"/>
      <c r="AY64" s="57"/>
      <c r="AZ64" s="57"/>
      <c r="BA64" s="57"/>
      <c r="BB64" s="57"/>
      <c r="BC64" s="57"/>
      <c r="BD64" s="57"/>
      <c r="BE64" s="57"/>
      <c r="BF64" s="57"/>
      <c r="BG64" s="57"/>
      <c r="BH64" s="57"/>
      <c r="BI64" s="57"/>
      <c r="BJ64" s="57"/>
      <c r="BK64" s="57"/>
      <c r="BL64" s="57"/>
      <c r="BM64" s="57"/>
      <c r="BN64" s="57"/>
      <c r="BO64" s="57"/>
      <c r="BP64" s="57"/>
      <c r="BQ64" s="57"/>
      <c r="BR64" s="57"/>
      <c r="BS64" s="57"/>
      <c r="BT64" s="57"/>
      <c r="BU64" s="57"/>
      <c r="BV64" s="57"/>
      <c r="BW64" s="57"/>
      <c r="BX64" s="57"/>
      <c r="BY64" s="57"/>
      <c r="BZ64" s="57"/>
      <c r="CA64" s="57"/>
      <c r="CB64" s="57"/>
      <c r="CC64" s="57"/>
      <c r="CD64" s="57"/>
      <c r="CE64" s="57"/>
      <c r="CF64" s="57"/>
      <c r="CG64" s="57"/>
      <c r="CH64" s="57"/>
      <c r="CI64" s="57"/>
      <c r="CJ64" s="57"/>
      <c r="CK64" s="57"/>
      <c r="CL64" s="57"/>
      <c r="CM64" s="57"/>
      <c r="CN64" s="57"/>
      <c r="CO64" s="57"/>
      <c r="CP64" s="49">
        <f t="shared" si="0"/>
        <v>0</v>
      </c>
      <c r="CQ64" s="49">
        <f t="shared" si="1"/>
        <v>0</v>
      </c>
      <c r="CR64" s="47">
        <f t="shared" si="2"/>
        <v>0</v>
      </c>
      <c r="CS64" s="48">
        <f t="shared" si="3"/>
        <v>0</v>
      </c>
    </row>
    <row r="65" spans="2:97" ht="26.25" thickBot="1" x14ac:dyDescent="0.3">
      <c r="B65" s="184"/>
      <c r="C65" s="56">
        <v>11</v>
      </c>
      <c r="D65" s="60"/>
      <c r="E65" s="60"/>
      <c r="F65" s="60"/>
      <c r="G65" s="61"/>
      <c r="H65" s="53" t="s">
        <v>163</v>
      </c>
      <c r="I65" s="53" t="s">
        <v>164</v>
      </c>
      <c r="J65" s="53" t="s">
        <v>165</v>
      </c>
      <c r="K65" s="53" t="s">
        <v>166</v>
      </c>
      <c r="L65" s="53" t="s">
        <v>167</v>
      </c>
      <c r="M65" s="58"/>
      <c r="N65" s="57"/>
      <c r="O65" s="57"/>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c r="AU65" s="57"/>
      <c r="AV65" s="57"/>
      <c r="AW65" s="57"/>
      <c r="AX65" s="57"/>
      <c r="AY65" s="57"/>
      <c r="AZ65" s="57"/>
      <c r="BA65" s="57"/>
      <c r="BB65" s="57"/>
      <c r="BC65" s="57"/>
      <c r="BD65" s="57"/>
      <c r="BE65" s="57"/>
      <c r="BF65" s="57"/>
      <c r="BG65" s="57"/>
      <c r="BH65" s="57"/>
      <c r="BI65" s="57"/>
      <c r="BJ65" s="57"/>
      <c r="BK65" s="57"/>
      <c r="BL65" s="57"/>
      <c r="BM65" s="57"/>
      <c r="BN65" s="57"/>
      <c r="BO65" s="57"/>
      <c r="BP65" s="57"/>
      <c r="BQ65" s="57"/>
      <c r="BR65" s="57"/>
      <c r="BS65" s="57"/>
      <c r="BT65" s="57"/>
      <c r="BU65" s="57"/>
      <c r="BV65" s="57"/>
      <c r="BW65" s="57"/>
      <c r="BX65" s="57"/>
      <c r="BY65" s="57"/>
      <c r="BZ65" s="57"/>
      <c r="CA65" s="57"/>
      <c r="CB65" s="57"/>
      <c r="CC65" s="57"/>
      <c r="CD65" s="57"/>
      <c r="CE65" s="57"/>
      <c r="CF65" s="57"/>
      <c r="CG65" s="57"/>
      <c r="CH65" s="57"/>
      <c r="CI65" s="57"/>
      <c r="CJ65" s="57"/>
      <c r="CK65" s="57"/>
      <c r="CL65" s="57"/>
      <c r="CM65" s="57"/>
      <c r="CN65" s="57"/>
      <c r="CO65" s="57"/>
      <c r="CP65" s="49">
        <f t="shared" si="0"/>
        <v>0</v>
      </c>
      <c r="CQ65" s="49">
        <f t="shared" si="1"/>
        <v>0</v>
      </c>
      <c r="CR65" s="47">
        <f t="shared" si="2"/>
        <v>0</v>
      </c>
      <c r="CS65" s="48">
        <f t="shared" si="3"/>
        <v>0</v>
      </c>
    </row>
    <row r="66" spans="2:97" ht="26.25" thickBot="1" x14ac:dyDescent="0.3">
      <c r="B66" s="184"/>
      <c r="C66" s="56">
        <v>12</v>
      </c>
      <c r="D66" s="60"/>
      <c r="E66" s="60"/>
      <c r="F66" s="60"/>
      <c r="G66" s="61"/>
      <c r="H66" s="53" t="s">
        <v>163</v>
      </c>
      <c r="I66" s="53" t="s">
        <v>164</v>
      </c>
      <c r="J66" s="53" t="s">
        <v>165</v>
      </c>
      <c r="K66" s="53" t="s">
        <v>166</v>
      </c>
      <c r="L66" s="53" t="s">
        <v>167</v>
      </c>
      <c r="M66" s="58"/>
      <c r="N66" s="57"/>
      <c r="O66" s="57"/>
      <c r="P66" s="57"/>
      <c r="Q66" s="57"/>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c r="AZ66" s="57"/>
      <c r="BA66" s="57"/>
      <c r="BB66" s="57"/>
      <c r="BC66" s="57"/>
      <c r="BD66" s="57"/>
      <c r="BE66" s="57"/>
      <c r="BF66" s="57"/>
      <c r="BG66" s="57"/>
      <c r="BH66" s="57"/>
      <c r="BI66" s="57"/>
      <c r="BJ66" s="57"/>
      <c r="BK66" s="57"/>
      <c r="BL66" s="57"/>
      <c r="BM66" s="57"/>
      <c r="BN66" s="57"/>
      <c r="BO66" s="57"/>
      <c r="BP66" s="57"/>
      <c r="BQ66" s="57"/>
      <c r="BR66" s="57"/>
      <c r="BS66" s="57"/>
      <c r="BT66" s="57"/>
      <c r="BU66" s="57"/>
      <c r="BV66" s="57"/>
      <c r="BW66" s="57"/>
      <c r="BX66" s="57"/>
      <c r="BY66" s="57"/>
      <c r="BZ66" s="57"/>
      <c r="CA66" s="57"/>
      <c r="CB66" s="57"/>
      <c r="CC66" s="57"/>
      <c r="CD66" s="57"/>
      <c r="CE66" s="57"/>
      <c r="CF66" s="57"/>
      <c r="CG66" s="57"/>
      <c r="CH66" s="57"/>
      <c r="CI66" s="57"/>
      <c r="CJ66" s="57"/>
      <c r="CK66" s="57"/>
      <c r="CL66" s="57"/>
      <c r="CM66" s="57"/>
      <c r="CN66" s="57"/>
      <c r="CO66" s="57"/>
      <c r="CP66" s="49">
        <f t="shared" si="0"/>
        <v>0</v>
      </c>
      <c r="CQ66" s="49">
        <f t="shared" si="1"/>
        <v>0</v>
      </c>
      <c r="CR66" s="47">
        <f t="shared" si="2"/>
        <v>0</v>
      </c>
      <c r="CS66" s="48">
        <f t="shared" si="3"/>
        <v>0</v>
      </c>
    </row>
    <row r="67" spans="2:97" ht="26.25" thickBot="1" x14ac:dyDescent="0.3">
      <c r="B67" s="184"/>
      <c r="C67" s="56">
        <v>13</v>
      </c>
      <c r="D67" s="60"/>
      <c r="E67" s="60"/>
      <c r="F67" s="60"/>
      <c r="G67" s="61"/>
      <c r="H67" s="53" t="s">
        <v>163</v>
      </c>
      <c r="I67" s="53" t="s">
        <v>164</v>
      </c>
      <c r="J67" s="53" t="s">
        <v>165</v>
      </c>
      <c r="K67" s="53" t="s">
        <v>166</v>
      </c>
      <c r="L67" s="53" t="s">
        <v>167</v>
      </c>
      <c r="M67" s="58"/>
      <c r="N67" s="57"/>
      <c r="O67" s="57"/>
      <c r="P67" s="57"/>
      <c r="Q67" s="57"/>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c r="AU67" s="57"/>
      <c r="AV67" s="57"/>
      <c r="AW67" s="57"/>
      <c r="AX67" s="57"/>
      <c r="AY67" s="57"/>
      <c r="AZ67" s="57"/>
      <c r="BA67" s="57"/>
      <c r="BB67" s="57"/>
      <c r="BC67" s="57"/>
      <c r="BD67" s="57"/>
      <c r="BE67" s="57"/>
      <c r="BF67" s="57"/>
      <c r="BG67" s="57"/>
      <c r="BH67" s="57"/>
      <c r="BI67" s="57"/>
      <c r="BJ67" s="57"/>
      <c r="BK67" s="57"/>
      <c r="BL67" s="57"/>
      <c r="BM67" s="57"/>
      <c r="BN67" s="57"/>
      <c r="BO67" s="57"/>
      <c r="BP67" s="57"/>
      <c r="BQ67" s="57"/>
      <c r="BR67" s="57"/>
      <c r="BS67" s="57"/>
      <c r="BT67" s="57"/>
      <c r="BU67" s="57"/>
      <c r="BV67" s="57"/>
      <c r="BW67" s="57"/>
      <c r="BX67" s="57"/>
      <c r="BY67" s="57"/>
      <c r="BZ67" s="57"/>
      <c r="CA67" s="57"/>
      <c r="CB67" s="57"/>
      <c r="CC67" s="57"/>
      <c r="CD67" s="57"/>
      <c r="CE67" s="57"/>
      <c r="CF67" s="57"/>
      <c r="CG67" s="57"/>
      <c r="CH67" s="57"/>
      <c r="CI67" s="57"/>
      <c r="CJ67" s="57"/>
      <c r="CK67" s="57"/>
      <c r="CL67" s="57"/>
      <c r="CM67" s="57"/>
      <c r="CN67" s="57"/>
      <c r="CO67" s="57"/>
      <c r="CP67" s="49">
        <f t="shared" si="0"/>
        <v>0</v>
      </c>
      <c r="CQ67" s="49">
        <f t="shared" si="1"/>
        <v>0</v>
      </c>
      <c r="CR67" s="47">
        <f t="shared" si="2"/>
        <v>0</v>
      </c>
      <c r="CS67" s="48">
        <f t="shared" si="3"/>
        <v>0</v>
      </c>
    </row>
    <row r="68" spans="2:97" ht="26.25" thickBot="1" x14ac:dyDescent="0.3">
      <c r="B68" s="184"/>
      <c r="C68" s="56">
        <v>14</v>
      </c>
      <c r="D68" s="60"/>
      <c r="E68" s="60"/>
      <c r="F68" s="60"/>
      <c r="G68" s="61"/>
      <c r="H68" s="53" t="s">
        <v>163</v>
      </c>
      <c r="I68" s="53" t="s">
        <v>164</v>
      </c>
      <c r="J68" s="53" t="s">
        <v>165</v>
      </c>
      <c r="K68" s="53" t="s">
        <v>166</v>
      </c>
      <c r="L68" s="53" t="s">
        <v>167</v>
      </c>
      <c r="M68" s="58"/>
      <c r="N68" s="57"/>
      <c r="O68" s="57"/>
      <c r="P68" s="57"/>
      <c r="Q68" s="57"/>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c r="AZ68" s="57"/>
      <c r="BA68" s="57"/>
      <c r="BB68" s="57"/>
      <c r="BC68" s="57"/>
      <c r="BD68" s="57"/>
      <c r="BE68" s="57"/>
      <c r="BF68" s="57"/>
      <c r="BG68" s="57"/>
      <c r="BH68" s="57"/>
      <c r="BI68" s="57"/>
      <c r="BJ68" s="57"/>
      <c r="BK68" s="57"/>
      <c r="BL68" s="57"/>
      <c r="BM68" s="57"/>
      <c r="BN68" s="57"/>
      <c r="BO68" s="57"/>
      <c r="BP68" s="57"/>
      <c r="BQ68" s="57"/>
      <c r="BR68" s="57"/>
      <c r="BS68" s="57"/>
      <c r="BT68" s="57"/>
      <c r="BU68" s="57"/>
      <c r="BV68" s="57"/>
      <c r="BW68" s="57"/>
      <c r="BX68" s="57"/>
      <c r="BY68" s="57"/>
      <c r="BZ68" s="57"/>
      <c r="CA68" s="57"/>
      <c r="CB68" s="57"/>
      <c r="CC68" s="57"/>
      <c r="CD68" s="57"/>
      <c r="CE68" s="57"/>
      <c r="CF68" s="57"/>
      <c r="CG68" s="57"/>
      <c r="CH68" s="57"/>
      <c r="CI68" s="57"/>
      <c r="CJ68" s="57"/>
      <c r="CK68" s="57"/>
      <c r="CL68" s="57"/>
      <c r="CM68" s="57"/>
      <c r="CN68" s="57"/>
      <c r="CO68" s="57"/>
      <c r="CP68" s="49">
        <f t="shared" si="0"/>
        <v>0</v>
      </c>
      <c r="CQ68" s="49">
        <f t="shared" si="1"/>
        <v>0</v>
      </c>
      <c r="CR68" s="47">
        <f t="shared" si="2"/>
        <v>0</v>
      </c>
      <c r="CS68" s="48">
        <f t="shared" si="3"/>
        <v>0</v>
      </c>
    </row>
    <row r="69" spans="2:97" ht="26.25" thickBot="1" x14ac:dyDescent="0.3">
      <c r="B69" s="184"/>
      <c r="C69" s="56">
        <v>15</v>
      </c>
      <c r="D69" s="60"/>
      <c r="E69" s="60"/>
      <c r="F69" s="60"/>
      <c r="G69" s="61"/>
      <c r="H69" s="53" t="s">
        <v>163</v>
      </c>
      <c r="I69" s="53" t="s">
        <v>164</v>
      </c>
      <c r="J69" s="53" t="s">
        <v>165</v>
      </c>
      <c r="K69" s="53" t="s">
        <v>166</v>
      </c>
      <c r="L69" s="53" t="s">
        <v>167</v>
      </c>
      <c r="M69" s="58"/>
      <c r="N69" s="57"/>
      <c r="O69" s="57"/>
      <c r="P69" s="57"/>
      <c r="Q69" s="57"/>
      <c r="R69" s="57"/>
      <c r="S69" s="57"/>
      <c r="T69" s="57"/>
      <c r="U69" s="57"/>
      <c r="V69" s="57"/>
      <c r="W69" s="57"/>
      <c r="X69" s="57"/>
      <c r="Y69" s="57"/>
      <c r="Z69" s="57"/>
      <c r="AA69" s="57"/>
      <c r="AB69" s="57"/>
      <c r="AC69" s="57"/>
      <c r="AD69" s="57"/>
      <c r="AE69" s="57"/>
      <c r="AF69" s="57"/>
      <c r="AG69" s="57"/>
      <c r="AH69" s="57"/>
      <c r="AI69" s="57"/>
      <c r="AJ69" s="57"/>
      <c r="AK69" s="57"/>
      <c r="AL69" s="57"/>
      <c r="AM69" s="57"/>
      <c r="AN69" s="57"/>
      <c r="AO69" s="57"/>
      <c r="AP69" s="57"/>
      <c r="AQ69" s="57"/>
      <c r="AR69" s="57"/>
      <c r="AS69" s="57"/>
      <c r="AT69" s="57"/>
      <c r="AU69" s="57"/>
      <c r="AV69" s="57"/>
      <c r="AW69" s="57"/>
      <c r="AX69" s="57"/>
      <c r="AY69" s="57"/>
      <c r="AZ69" s="57"/>
      <c r="BA69" s="57"/>
      <c r="BB69" s="57"/>
      <c r="BC69" s="57"/>
      <c r="BD69" s="57"/>
      <c r="BE69" s="57"/>
      <c r="BF69" s="57"/>
      <c r="BG69" s="57"/>
      <c r="BH69" s="57"/>
      <c r="BI69" s="57"/>
      <c r="BJ69" s="57"/>
      <c r="BK69" s="57"/>
      <c r="BL69" s="57"/>
      <c r="BM69" s="57"/>
      <c r="BN69" s="57"/>
      <c r="BO69" s="57"/>
      <c r="BP69" s="57"/>
      <c r="BQ69" s="57"/>
      <c r="BR69" s="57"/>
      <c r="BS69" s="57"/>
      <c r="BT69" s="57"/>
      <c r="BU69" s="57"/>
      <c r="BV69" s="57"/>
      <c r="BW69" s="57"/>
      <c r="BX69" s="57"/>
      <c r="BY69" s="57"/>
      <c r="BZ69" s="57"/>
      <c r="CA69" s="57"/>
      <c r="CB69" s="57"/>
      <c r="CC69" s="57"/>
      <c r="CD69" s="57"/>
      <c r="CE69" s="57"/>
      <c r="CF69" s="57"/>
      <c r="CG69" s="57"/>
      <c r="CH69" s="57"/>
      <c r="CI69" s="57"/>
      <c r="CJ69" s="57"/>
      <c r="CK69" s="57"/>
      <c r="CL69" s="57"/>
      <c r="CM69" s="57"/>
      <c r="CN69" s="57"/>
      <c r="CO69" s="57"/>
      <c r="CP69" s="49">
        <f t="shared" si="0"/>
        <v>0</v>
      </c>
      <c r="CQ69" s="49">
        <f t="shared" si="1"/>
        <v>0</v>
      </c>
      <c r="CR69" s="47">
        <f t="shared" si="2"/>
        <v>0</v>
      </c>
      <c r="CS69" s="48">
        <f t="shared" si="3"/>
        <v>0</v>
      </c>
    </row>
    <row r="70" spans="2:97" ht="26.25" thickBot="1" x14ac:dyDescent="0.3">
      <c r="B70" s="184"/>
      <c r="C70" s="56">
        <v>16</v>
      </c>
      <c r="D70" s="60"/>
      <c r="E70" s="60"/>
      <c r="F70" s="60"/>
      <c r="G70" s="61"/>
      <c r="H70" s="53" t="s">
        <v>163</v>
      </c>
      <c r="I70" s="53" t="s">
        <v>164</v>
      </c>
      <c r="J70" s="53" t="s">
        <v>165</v>
      </c>
      <c r="K70" s="53" t="s">
        <v>166</v>
      </c>
      <c r="L70" s="53" t="s">
        <v>167</v>
      </c>
      <c r="M70" s="58"/>
      <c r="N70" s="57"/>
      <c r="O70" s="57"/>
      <c r="P70" s="57"/>
      <c r="Q70" s="57"/>
      <c r="R70" s="57"/>
      <c r="S70" s="57"/>
      <c r="T70" s="57"/>
      <c r="U70" s="57"/>
      <c r="V70" s="57"/>
      <c r="W70" s="57"/>
      <c r="X70" s="57"/>
      <c r="Y70" s="57"/>
      <c r="Z70" s="57"/>
      <c r="AA70" s="57"/>
      <c r="AB70" s="57"/>
      <c r="AC70" s="57"/>
      <c r="AD70" s="57"/>
      <c r="AE70" s="57"/>
      <c r="AF70" s="57"/>
      <c r="AG70" s="57"/>
      <c r="AH70" s="57"/>
      <c r="AI70" s="57"/>
      <c r="AJ70" s="57"/>
      <c r="AK70" s="57"/>
      <c r="AL70" s="57"/>
      <c r="AM70" s="57"/>
      <c r="AN70" s="57"/>
      <c r="AO70" s="57"/>
      <c r="AP70" s="57"/>
      <c r="AQ70" s="57"/>
      <c r="AR70" s="57"/>
      <c r="AS70" s="57"/>
      <c r="AT70" s="57"/>
      <c r="AU70" s="57"/>
      <c r="AV70" s="57"/>
      <c r="AW70" s="57"/>
      <c r="AX70" s="57"/>
      <c r="AY70" s="57"/>
      <c r="AZ70" s="57"/>
      <c r="BA70" s="57"/>
      <c r="BB70" s="57"/>
      <c r="BC70" s="57"/>
      <c r="BD70" s="57"/>
      <c r="BE70" s="57"/>
      <c r="BF70" s="57"/>
      <c r="BG70" s="57"/>
      <c r="BH70" s="57"/>
      <c r="BI70" s="57"/>
      <c r="BJ70" s="57"/>
      <c r="BK70" s="57"/>
      <c r="BL70" s="57"/>
      <c r="BM70" s="57"/>
      <c r="BN70" s="57"/>
      <c r="BO70" s="57"/>
      <c r="BP70" s="57"/>
      <c r="BQ70" s="57"/>
      <c r="BR70" s="57"/>
      <c r="BS70" s="57"/>
      <c r="BT70" s="57"/>
      <c r="BU70" s="57"/>
      <c r="BV70" s="57"/>
      <c r="BW70" s="57"/>
      <c r="BX70" s="57"/>
      <c r="BY70" s="57"/>
      <c r="BZ70" s="57"/>
      <c r="CA70" s="57"/>
      <c r="CB70" s="57"/>
      <c r="CC70" s="57"/>
      <c r="CD70" s="57"/>
      <c r="CE70" s="57"/>
      <c r="CF70" s="57"/>
      <c r="CG70" s="57"/>
      <c r="CH70" s="57"/>
      <c r="CI70" s="57"/>
      <c r="CJ70" s="57"/>
      <c r="CK70" s="57"/>
      <c r="CL70" s="57"/>
      <c r="CM70" s="57"/>
      <c r="CN70" s="57"/>
      <c r="CO70" s="57"/>
      <c r="CP70" s="49">
        <f t="shared" ref="CP70:CP79" si="4">((N70/4*$M$5+P70/4*$M$5+R70/4*$M$5+T70/4*$M$5+V70/4*$M$5+X70/4*$M$5+Z70/4*$M$5+AB70/4*$M$5+AD70/4*$M$5+AF70/4*$M$5+AH70/4*$M$5+AJ70/4*$M$5+AL70/4*$M$5+AN70/4*$M$5+AP70/4*$M$5+AR70/4*$M$5+AT70/4*$M$5+AV70/4*$M$5+AX70/4*$M$5+AZ70/4*$M$5+BB70/4*$M$5+BD70/4*$M$5+BF70/4*$M$5+BH70/4*$M$5+BJ70/4*$M$5+BL70/4*$M$5+BN70/4*$M$5+BP70/4*$M$5+BR70/4*$M$5+BT70/4*$M$5+BV70/4*$M$5+BX70/4*$M$5+BZ70/4*$M$5+CB70/4*$M$5+CD70/4*$M$5+CF70/4*$M$5+CH70/4*$M$5+CJ70/4*$M$5+CL70/4*$M$5+CN70/4*$M$5)/40)*10</f>
        <v>0</v>
      </c>
      <c r="CQ70" s="49">
        <f t="shared" ref="CQ70:CQ79" si="5">((O70/4*$M$5+Q70/4*$M$5+S70/4*$M$5+U70/4*$M$5+W70/4*$M$5+Y70/4*$M$5+AA70/4*$M$5+AC70/4*$M$5+AE70/4*$M$5+AG70/4*$M$5+AI70/4*$M$5+AK70/4*$M$5+AM70/4*$M$5+AO70/4*$M$5+AQ70/4*$M$5+AS70/4*$M$5+AU70/4*$M$5+AW70/4*$M$5+AY70/4*$M$5+BA70/4*$M$5+BC70/4*$M$5+BE70/4*$M$5+BG70/4*$M$5+BI70/4*$M$5+BK70/4*$M$5+BM70/4*$M$5+BO70/4*$M$5+BQ70/4*$M$5+BS70/4*$M$5+BU70/4*$M$5+BW70/4*$M$5+BY70/4*$M$5+CA70/4*$M$5+CC70/4*$M$5+CE70/4*$M$5+CG70/4*$M$5+CI70/4*$M$5+CK70/4*$M$5+CM70/4*$M$5+CO70/4*$M$5)/40)*10</f>
        <v>0</v>
      </c>
      <c r="CR70" s="47">
        <f t="shared" ref="CR70:CR79" si="6">AVERAGE(CP70:CQ70)</f>
        <v>0</v>
      </c>
      <c r="CS70" s="48">
        <f t="shared" ref="CS70:CS79" si="7">(CR70)*100</f>
        <v>0</v>
      </c>
    </row>
    <row r="71" spans="2:97" ht="26.25" thickBot="1" x14ac:dyDescent="0.3">
      <c r="B71" s="184"/>
      <c r="C71" s="56">
        <v>17</v>
      </c>
      <c r="D71" s="60"/>
      <c r="E71" s="60"/>
      <c r="F71" s="60"/>
      <c r="G71" s="61"/>
      <c r="H71" s="53" t="s">
        <v>163</v>
      </c>
      <c r="I71" s="53" t="s">
        <v>164</v>
      </c>
      <c r="J71" s="53" t="s">
        <v>165</v>
      </c>
      <c r="K71" s="53" t="s">
        <v>166</v>
      </c>
      <c r="L71" s="53" t="s">
        <v>167</v>
      </c>
      <c r="M71" s="58"/>
      <c r="N71" s="57"/>
      <c r="O71" s="57"/>
      <c r="P71" s="57"/>
      <c r="Q71" s="57"/>
      <c r="R71" s="57"/>
      <c r="S71" s="57"/>
      <c r="T71" s="57"/>
      <c r="U71" s="57"/>
      <c r="V71" s="57"/>
      <c r="W71" s="57"/>
      <c r="X71" s="57"/>
      <c r="Y71" s="57"/>
      <c r="Z71" s="57"/>
      <c r="AA71" s="57"/>
      <c r="AB71" s="57"/>
      <c r="AC71" s="57"/>
      <c r="AD71" s="57"/>
      <c r="AE71" s="57"/>
      <c r="AF71" s="57"/>
      <c r="AG71" s="57"/>
      <c r="AH71" s="57"/>
      <c r="AI71" s="57"/>
      <c r="AJ71" s="57"/>
      <c r="AK71" s="57"/>
      <c r="AL71" s="57"/>
      <c r="AM71" s="57"/>
      <c r="AN71" s="57"/>
      <c r="AO71" s="57"/>
      <c r="AP71" s="57"/>
      <c r="AQ71" s="57"/>
      <c r="AR71" s="57"/>
      <c r="AS71" s="57"/>
      <c r="AT71" s="57"/>
      <c r="AU71" s="57"/>
      <c r="AV71" s="57"/>
      <c r="AW71" s="57"/>
      <c r="AX71" s="57"/>
      <c r="AY71" s="57"/>
      <c r="AZ71" s="57"/>
      <c r="BA71" s="57"/>
      <c r="BB71" s="57"/>
      <c r="BC71" s="57"/>
      <c r="BD71" s="57"/>
      <c r="BE71" s="57"/>
      <c r="BF71" s="57"/>
      <c r="BG71" s="57"/>
      <c r="BH71" s="57"/>
      <c r="BI71" s="57"/>
      <c r="BJ71" s="57"/>
      <c r="BK71" s="57"/>
      <c r="BL71" s="57"/>
      <c r="BM71" s="57"/>
      <c r="BN71" s="57"/>
      <c r="BO71" s="57"/>
      <c r="BP71" s="57"/>
      <c r="BQ71" s="57"/>
      <c r="BR71" s="57"/>
      <c r="BS71" s="57"/>
      <c r="BT71" s="57"/>
      <c r="BU71" s="57"/>
      <c r="BV71" s="57"/>
      <c r="BW71" s="57"/>
      <c r="BX71" s="57"/>
      <c r="BY71" s="57"/>
      <c r="BZ71" s="57"/>
      <c r="CA71" s="57"/>
      <c r="CB71" s="57"/>
      <c r="CC71" s="57"/>
      <c r="CD71" s="57"/>
      <c r="CE71" s="57"/>
      <c r="CF71" s="57"/>
      <c r="CG71" s="57"/>
      <c r="CH71" s="57"/>
      <c r="CI71" s="57"/>
      <c r="CJ71" s="57"/>
      <c r="CK71" s="57"/>
      <c r="CL71" s="57"/>
      <c r="CM71" s="57"/>
      <c r="CN71" s="57"/>
      <c r="CO71" s="57"/>
      <c r="CP71" s="49">
        <f t="shared" si="4"/>
        <v>0</v>
      </c>
      <c r="CQ71" s="49">
        <f t="shared" si="5"/>
        <v>0</v>
      </c>
      <c r="CR71" s="47">
        <f t="shared" si="6"/>
        <v>0</v>
      </c>
      <c r="CS71" s="48">
        <f t="shared" si="7"/>
        <v>0</v>
      </c>
    </row>
    <row r="72" spans="2:97" ht="26.25" thickBot="1" x14ac:dyDescent="0.3">
      <c r="B72" s="184"/>
      <c r="C72" s="56">
        <v>18</v>
      </c>
      <c r="D72" s="60"/>
      <c r="E72" s="60"/>
      <c r="F72" s="60"/>
      <c r="G72" s="61"/>
      <c r="H72" s="53" t="s">
        <v>163</v>
      </c>
      <c r="I72" s="53" t="s">
        <v>164</v>
      </c>
      <c r="J72" s="53" t="s">
        <v>165</v>
      </c>
      <c r="K72" s="53" t="s">
        <v>166</v>
      </c>
      <c r="L72" s="53" t="s">
        <v>167</v>
      </c>
      <c r="M72" s="58"/>
      <c r="N72" s="57"/>
      <c r="O72" s="57"/>
      <c r="P72" s="57"/>
      <c r="Q72" s="57"/>
      <c r="R72" s="57"/>
      <c r="S72" s="57"/>
      <c r="T72" s="57"/>
      <c r="U72" s="57"/>
      <c r="V72" s="57"/>
      <c r="W72" s="57"/>
      <c r="X72" s="57"/>
      <c r="Y72" s="57"/>
      <c r="Z72" s="57"/>
      <c r="AA72" s="57"/>
      <c r="AB72" s="57"/>
      <c r="AC72" s="57"/>
      <c r="AD72" s="57"/>
      <c r="AE72" s="57"/>
      <c r="AF72" s="57"/>
      <c r="AG72" s="57"/>
      <c r="AH72" s="57"/>
      <c r="AI72" s="57"/>
      <c r="AJ72" s="57"/>
      <c r="AK72" s="57"/>
      <c r="AL72" s="57"/>
      <c r="AM72" s="57"/>
      <c r="AN72" s="57"/>
      <c r="AO72" s="57"/>
      <c r="AP72" s="57"/>
      <c r="AQ72" s="57"/>
      <c r="AR72" s="57"/>
      <c r="AS72" s="57"/>
      <c r="AT72" s="57"/>
      <c r="AU72" s="57"/>
      <c r="AV72" s="57"/>
      <c r="AW72" s="57"/>
      <c r="AX72" s="57"/>
      <c r="AY72" s="57"/>
      <c r="AZ72" s="57"/>
      <c r="BA72" s="57"/>
      <c r="BB72" s="57"/>
      <c r="BC72" s="57"/>
      <c r="BD72" s="57"/>
      <c r="BE72" s="57"/>
      <c r="BF72" s="57"/>
      <c r="BG72" s="57"/>
      <c r="BH72" s="57"/>
      <c r="BI72" s="57"/>
      <c r="BJ72" s="57"/>
      <c r="BK72" s="57"/>
      <c r="BL72" s="57"/>
      <c r="BM72" s="57"/>
      <c r="BN72" s="57"/>
      <c r="BO72" s="57"/>
      <c r="BP72" s="57"/>
      <c r="BQ72" s="57"/>
      <c r="BR72" s="57"/>
      <c r="BS72" s="57"/>
      <c r="BT72" s="57"/>
      <c r="BU72" s="57"/>
      <c r="BV72" s="57"/>
      <c r="BW72" s="57"/>
      <c r="BX72" s="57"/>
      <c r="BY72" s="57"/>
      <c r="BZ72" s="57"/>
      <c r="CA72" s="57"/>
      <c r="CB72" s="57"/>
      <c r="CC72" s="57"/>
      <c r="CD72" s="57"/>
      <c r="CE72" s="57"/>
      <c r="CF72" s="57"/>
      <c r="CG72" s="57"/>
      <c r="CH72" s="57"/>
      <c r="CI72" s="57"/>
      <c r="CJ72" s="57"/>
      <c r="CK72" s="57"/>
      <c r="CL72" s="57"/>
      <c r="CM72" s="57"/>
      <c r="CN72" s="57"/>
      <c r="CO72" s="57"/>
      <c r="CP72" s="49">
        <f t="shared" si="4"/>
        <v>0</v>
      </c>
      <c r="CQ72" s="49">
        <f t="shared" si="5"/>
        <v>0</v>
      </c>
      <c r="CR72" s="47">
        <f t="shared" si="6"/>
        <v>0</v>
      </c>
      <c r="CS72" s="48">
        <f t="shared" si="7"/>
        <v>0</v>
      </c>
    </row>
    <row r="73" spans="2:97" ht="26.25" thickBot="1" x14ac:dyDescent="0.3">
      <c r="B73" s="184"/>
      <c r="C73" s="56">
        <v>19</v>
      </c>
      <c r="D73" s="60"/>
      <c r="E73" s="60"/>
      <c r="F73" s="60"/>
      <c r="G73" s="61"/>
      <c r="H73" s="53" t="s">
        <v>163</v>
      </c>
      <c r="I73" s="53" t="s">
        <v>164</v>
      </c>
      <c r="J73" s="53" t="s">
        <v>165</v>
      </c>
      <c r="K73" s="53" t="s">
        <v>166</v>
      </c>
      <c r="L73" s="53" t="s">
        <v>167</v>
      </c>
      <c r="M73" s="58"/>
      <c r="N73" s="57"/>
      <c r="O73" s="57"/>
      <c r="P73" s="57"/>
      <c r="Q73" s="57"/>
      <c r="R73" s="57"/>
      <c r="S73" s="57"/>
      <c r="T73" s="57"/>
      <c r="U73" s="57"/>
      <c r="V73" s="57"/>
      <c r="W73" s="57"/>
      <c r="X73" s="57"/>
      <c r="Y73" s="57"/>
      <c r="Z73" s="57"/>
      <c r="AA73" s="57"/>
      <c r="AB73" s="57"/>
      <c r="AC73" s="57"/>
      <c r="AD73" s="57"/>
      <c r="AE73" s="57"/>
      <c r="AF73" s="57"/>
      <c r="AG73" s="57"/>
      <c r="AH73" s="57"/>
      <c r="AI73" s="57"/>
      <c r="AJ73" s="57"/>
      <c r="AK73" s="57"/>
      <c r="AL73" s="57"/>
      <c r="AM73" s="57"/>
      <c r="AN73" s="57"/>
      <c r="AO73" s="57"/>
      <c r="AP73" s="57"/>
      <c r="AQ73" s="57"/>
      <c r="AR73" s="57"/>
      <c r="AS73" s="57"/>
      <c r="AT73" s="57"/>
      <c r="AU73" s="57"/>
      <c r="AV73" s="57"/>
      <c r="AW73" s="57"/>
      <c r="AX73" s="57"/>
      <c r="AY73" s="57"/>
      <c r="AZ73" s="57"/>
      <c r="BA73" s="57"/>
      <c r="BB73" s="57"/>
      <c r="BC73" s="57"/>
      <c r="BD73" s="57"/>
      <c r="BE73" s="57"/>
      <c r="BF73" s="57"/>
      <c r="BG73" s="57"/>
      <c r="BH73" s="57"/>
      <c r="BI73" s="57"/>
      <c r="BJ73" s="57"/>
      <c r="BK73" s="57"/>
      <c r="BL73" s="57"/>
      <c r="BM73" s="57"/>
      <c r="BN73" s="57"/>
      <c r="BO73" s="57"/>
      <c r="BP73" s="57"/>
      <c r="BQ73" s="57"/>
      <c r="BR73" s="57"/>
      <c r="BS73" s="57"/>
      <c r="BT73" s="57"/>
      <c r="BU73" s="57"/>
      <c r="BV73" s="57"/>
      <c r="BW73" s="57"/>
      <c r="BX73" s="57"/>
      <c r="BY73" s="57"/>
      <c r="BZ73" s="57"/>
      <c r="CA73" s="57"/>
      <c r="CB73" s="57"/>
      <c r="CC73" s="57"/>
      <c r="CD73" s="57"/>
      <c r="CE73" s="57"/>
      <c r="CF73" s="57"/>
      <c r="CG73" s="57"/>
      <c r="CH73" s="57"/>
      <c r="CI73" s="57"/>
      <c r="CJ73" s="57"/>
      <c r="CK73" s="57"/>
      <c r="CL73" s="57"/>
      <c r="CM73" s="57"/>
      <c r="CN73" s="57"/>
      <c r="CO73" s="57"/>
      <c r="CP73" s="49">
        <f t="shared" si="4"/>
        <v>0</v>
      </c>
      <c r="CQ73" s="49">
        <f t="shared" si="5"/>
        <v>0</v>
      </c>
      <c r="CR73" s="47">
        <f t="shared" si="6"/>
        <v>0</v>
      </c>
      <c r="CS73" s="48">
        <f t="shared" si="7"/>
        <v>0</v>
      </c>
    </row>
    <row r="74" spans="2:97" ht="26.25" thickBot="1" x14ac:dyDescent="0.3">
      <c r="B74" s="184"/>
      <c r="C74" s="56">
        <v>20</v>
      </c>
      <c r="D74" s="60"/>
      <c r="E74" s="60"/>
      <c r="F74" s="60"/>
      <c r="G74" s="61"/>
      <c r="H74" s="53" t="s">
        <v>163</v>
      </c>
      <c r="I74" s="53" t="s">
        <v>164</v>
      </c>
      <c r="J74" s="53" t="s">
        <v>165</v>
      </c>
      <c r="K74" s="53" t="s">
        <v>166</v>
      </c>
      <c r="L74" s="53" t="s">
        <v>167</v>
      </c>
      <c r="M74" s="58"/>
      <c r="N74" s="57"/>
      <c r="O74" s="57"/>
      <c r="P74" s="57"/>
      <c r="Q74" s="57"/>
      <c r="R74" s="57"/>
      <c r="S74" s="57"/>
      <c r="T74" s="57"/>
      <c r="U74" s="57"/>
      <c r="V74" s="57"/>
      <c r="W74" s="57"/>
      <c r="X74" s="57"/>
      <c r="Y74" s="57"/>
      <c r="Z74" s="57"/>
      <c r="AA74" s="57"/>
      <c r="AB74" s="57"/>
      <c r="AC74" s="57"/>
      <c r="AD74" s="57"/>
      <c r="AE74" s="57"/>
      <c r="AF74" s="57"/>
      <c r="AG74" s="57"/>
      <c r="AH74" s="57"/>
      <c r="AI74" s="57"/>
      <c r="AJ74" s="57"/>
      <c r="AK74" s="57"/>
      <c r="AL74" s="57"/>
      <c r="AM74" s="57"/>
      <c r="AN74" s="57"/>
      <c r="AO74" s="57"/>
      <c r="AP74" s="57"/>
      <c r="AQ74" s="57"/>
      <c r="AR74" s="57"/>
      <c r="AS74" s="57"/>
      <c r="AT74" s="57"/>
      <c r="AU74" s="57"/>
      <c r="AV74" s="57"/>
      <c r="AW74" s="57"/>
      <c r="AX74" s="57"/>
      <c r="AY74" s="57"/>
      <c r="AZ74" s="57"/>
      <c r="BA74" s="57"/>
      <c r="BB74" s="57"/>
      <c r="BC74" s="57"/>
      <c r="BD74" s="57"/>
      <c r="BE74" s="57"/>
      <c r="BF74" s="57"/>
      <c r="BG74" s="57"/>
      <c r="BH74" s="57"/>
      <c r="BI74" s="57"/>
      <c r="BJ74" s="57"/>
      <c r="BK74" s="57"/>
      <c r="BL74" s="57"/>
      <c r="BM74" s="57"/>
      <c r="BN74" s="57"/>
      <c r="BO74" s="57"/>
      <c r="BP74" s="57"/>
      <c r="BQ74" s="57"/>
      <c r="BR74" s="57"/>
      <c r="BS74" s="57"/>
      <c r="BT74" s="57"/>
      <c r="BU74" s="57"/>
      <c r="BV74" s="57"/>
      <c r="BW74" s="57"/>
      <c r="BX74" s="57"/>
      <c r="BY74" s="57"/>
      <c r="BZ74" s="57"/>
      <c r="CA74" s="57"/>
      <c r="CB74" s="57"/>
      <c r="CC74" s="57"/>
      <c r="CD74" s="57"/>
      <c r="CE74" s="57"/>
      <c r="CF74" s="57"/>
      <c r="CG74" s="57"/>
      <c r="CH74" s="57"/>
      <c r="CI74" s="57"/>
      <c r="CJ74" s="57"/>
      <c r="CK74" s="57"/>
      <c r="CL74" s="57"/>
      <c r="CM74" s="57"/>
      <c r="CN74" s="57"/>
      <c r="CO74" s="57"/>
      <c r="CP74" s="49">
        <f t="shared" si="4"/>
        <v>0</v>
      </c>
      <c r="CQ74" s="49">
        <f t="shared" si="5"/>
        <v>0</v>
      </c>
      <c r="CR74" s="47">
        <f t="shared" si="6"/>
        <v>0</v>
      </c>
      <c r="CS74" s="48">
        <f t="shared" si="7"/>
        <v>0</v>
      </c>
    </row>
    <row r="75" spans="2:97" ht="26.25" thickBot="1" x14ac:dyDescent="0.3">
      <c r="B75" s="184"/>
      <c r="C75" s="56">
        <v>21</v>
      </c>
      <c r="D75" s="60"/>
      <c r="E75" s="60"/>
      <c r="F75" s="60"/>
      <c r="G75" s="61"/>
      <c r="H75" s="53" t="s">
        <v>163</v>
      </c>
      <c r="I75" s="53" t="s">
        <v>164</v>
      </c>
      <c r="J75" s="53" t="s">
        <v>165</v>
      </c>
      <c r="K75" s="53" t="s">
        <v>166</v>
      </c>
      <c r="L75" s="53" t="s">
        <v>167</v>
      </c>
      <c r="M75" s="58"/>
      <c r="N75" s="57"/>
      <c r="O75" s="57"/>
      <c r="P75" s="57"/>
      <c r="Q75" s="57"/>
      <c r="R75" s="57"/>
      <c r="S75" s="57"/>
      <c r="T75" s="57"/>
      <c r="U75" s="57"/>
      <c r="V75" s="57"/>
      <c r="W75" s="57"/>
      <c r="X75" s="57"/>
      <c r="Y75" s="57"/>
      <c r="Z75" s="57"/>
      <c r="AA75" s="57"/>
      <c r="AB75" s="57"/>
      <c r="AC75" s="57"/>
      <c r="AD75" s="57"/>
      <c r="AE75" s="57"/>
      <c r="AF75" s="57"/>
      <c r="AG75" s="57"/>
      <c r="AH75" s="57"/>
      <c r="AI75" s="57"/>
      <c r="AJ75" s="57"/>
      <c r="AK75" s="57"/>
      <c r="AL75" s="57"/>
      <c r="AM75" s="57"/>
      <c r="AN75" s="57"/>
      <c r="AO75" s="57"/>
      <c r="AP75" s="57"/>
      <c r="AQ75" s="57"/>
      <c r="AR75" s="57"/>
      <c r="AS75" s="57"/>
      <c r="AT75" s="57"/>
      <c r="AU75" s="57"/>
      <c r="AV75" s="57"/>
      <c r="AW75" s="57"/>
      <c r="AX75" s="57"/>
      <c r="AY75" s="57"/>
      <c r="AZ75" s="57"/>
      <c r="BA75" s="57"/>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c r="CD75" s="57"/>
      <c r="CE75" s="57"/>
      <c r="CF75" s="57"/>
      <c r="CG75" s="57"/>
      <c r="CH75" s="57"/>
      <c r="CI75" s="57"/>
      <c r="CJ75" s="57"/>
      <c r="CK75" s="57"/>
      <c r="CL75" s="57"/>
      <c r="CM75" s="57"/>
      <c r="CN75" s="57"/>
      <c r="CO75" s="57"/>
      <c r="CP75" s="49">
        <f t="shared" si="4"/>
        <v>0</v>
      </c>
      <c r="CQ75" s="49">
        <f t="shared" si="5"/>
        <v>0</v>
      </c>
      <c r="CR75" s="47">
        <f t="shared" si="6"/>
        <v>0</v>
      </c>
      <c r="CS75" s="48">
        <f t="shared" si="7"/>
        <v>0</v>
      </c>
    </row>
    <row r="76" spans="2:97" ht="26.25" thickBot="1" x14ac:dyDescent="0.3">
      <c r="B76" s="184"/>
      <c r="C76" s="56">
        <v>22</v>
      </c>
      <c r="D76" s="60"/>
      <c r="E76" s="60"/>
      <c r="F76" s="60"/>
      <c r="G76" s="61"/>
      <c r="H76" s="53" t="s">
        <v>163</v>
      </c>
      <c r="I76" s="53" t="s">
        <v>164</v>
      </c>
      <c r="J76" s="53" t="s">
        <v>165</v>
      </c>
      <c r="K76" s="53" t="s">
        <v>166</v>
      </c>
      <c r="L76" s="53" t="s">
        <v>167</v>
      </c>
      <c r="M76" s="58"/>
      <c r="N76" s="57"/>
      <c r="O76" s="57"/>
      <c r="P76" s="57"/>
      <c r="Q76" s="57"/>
      <c r="R76" s="57"/>
      <c r="S76" s="57"/>
      <c r="T76" s="57"/>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c r="AU76" s="57"/>
      <c r="AV76" s="57"/>
      <c r="AW76" s="57"/>
      <c r="AX76" s="57"/>
      <c r="AY76" s="57"/>
      <c r="AZ76" s="57"/>
      <c r="BA76" s="57"/>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c r="CD76" s="57"/>
      <c r="CE76" s="57"/>
      <c r="CF76" s="57"/>
      <c r="CG76" s="57"/>
      <c r="CH76" s="57"/>
      <c r="CI76" s="57"/>
      <c r="CJ76" s="57"/>
      <c r="CK76" s="57"/>
      <c r="CL76" s="57"/>
      <c r="CM76" s="57"/>
      <c r="CN76" s="57"/>
      <c r="CO76" s="57"/>
      <c r="CP76" s="49">
        <f t="shared" si="4"/>
        <v>0</v>
      </c>
      <c r="CQ76" s="49">
        <f t="shared" si="5"/>
        <v>0</v>
      </c>
      <c r="CR76" s="47">
        <f t="shared" si="6"/>
        <v>0</v>
      </c>
      <c r="CS76" s="48">
        <f t="shared" si="7"/>
        <v>0</v>
      </c>
    </row>
    <row r="77" spans="2:97" ht="26.25" thickBot="1" x14ac:dyDescent="0.3">
      <c r="B77" s="184"/>
      <c r="C77" s="56">
        <v>23</v>
      </c>
      <c r="D77" s="60"/>
      <c r="E77" s="60"/>
      <c r="F77" s="60"/>
      <c r="G77" s="61"/>
      <c r="H77" s="53" t="s">
        <v>163</v>
      </c>
      <c r="I77" s="53" t="s">
        <v>164</v>
      </c>
      <c r="J77" s="53" t="s">
        <v>165</v>
      </c>
      <c r="K77" s="53" t="s">
        <v>166</v>
      </c>
      <c r="L77" s="53" t="s">
        <v>167</v>
      </c>
      <c r="M77" s="58"/>
      <c r="N77" s="57"/>
      <c r="O77" s="57"/>
      <c r="P77" s="57"/>
      <c r="Q77" s="57"/>
      <c r="R77" s="57"/>
      <c r="S77" s="57"/>
      <c r="T77" s="57"/>
      <c r="U77" s="57"/>
      <c r="V77" s="57"/>
      <c r="W77" s="57"/>
      <c r="X77" s="57"/>
      <c r="Y77" s="57"/>
      <c r="Z77" s="57"/>
      <c r="AA77" s="57"/>
      <c r="AB77" s="57"/>
      <c r="AC77" s="57"/>
      <c r="AD77" s="57"/>
      <c r="AE77" s="57"/>
      <c r="AF77" s="57"/>
      <c r="AG77" s="57"/>
      <c r="AH77" s="57"/>
      <c r="AI77" s="57"/>
      <c r="AJ77" s="57"/>
      <c r="AK77" s="57"/>
      <c r="AL77" s="57"/>
      <c r="AM77" s="57"/>
      <c r="AN77" s="57"/>
      <c r="AO77" s="57"/>
      <c r="AP77" s="57"/>
      <c r="AQ77" s="57"/>
      <c r="AR77" s="57"/>
      <c r="AS77" s="57"/>
      <c r="AT77" s="57"/>
      <c r="AU77" s="57"/>
      <c r="AV77" s="57"/>
      <c r="AW77" s="57"/>
      <c r="AX77" s="57"/>
      <c r="AY77" s="57"/>
      <c r="AZ77" s="57"/>
      <c r="BA77" s="57"/>
      <c r="BB77" s="57"/>
      <c r="BC77" s="57"/>
      <c r="BD77" s="57"/>
      <c r="BE77" s="57"/>
      <c r="BF77" s="57"/>
      <c r="BG77" s="57"/>
      <c r="BH77" s="57"/>
      <c r="BI77" s="57"/>
      <c r="BJ77" s="57"/>
      <c r="BK77" s="57"/>
      <c r="BL77" s="57"/>
      <c r="BM77" s="57"/>
      <c r="BN77" s="57"/>
      <c r="BO77" s="57"/>
      <c r="BP77" s="57"/>
      <c r="BQ77" s="57"/>
      <c r="BR77" s="57"/>
      <c r="BS77" s="57"/>
      <c r="BT77" s="57"/>
      <c r="BU77" s="57"/>
      <c r="BV77" s="57"/>
      <c r="BW77" s="57"/>
      <c r="BX77" s="57"/>
      <c r="BY77" s="57"/>
      <c r="BZ77" s="57"/>
      <c r="CA77" s="57"/>
      <c r="CB77" s="57"/>
      <c r="CC77" s="57"/>
      <c r="CD77" s="57"/>
      <c r="CE77" s="57"/>
      <c r="CF77" s="57"/>
      <c r="CG77" s="57"/>
      <c r="CH77" s="57"/>
      <c r="CI77" s="57"/>
      <c r="CJ77" s="57"/>
      <c r="CK77" s="57"/>
      <c r="CL77" s="57"/>
      <c r="CM77" s="57"/>
      <c r="CN77" s="57"/>
      <c r="CO77" s="57"/>
      <c r="CP77" s="49">
        <f t="shared" si="4"/>
        <v>0</v>
      </c>
      <c r="CQ77" s="49">
        <f t="shared" si="5"/>
        <v>0</v>
      </c>
      <c r="CR77" s="47">
        <f t="shared" si="6"/>
        <v>0</v>
      </c>
      <c r="CS77" s="48">
        <f t="shared" si="7"/>
        <v>0</v>
      </c>
    </row>
    <row r="78" spans="2:97" ht="26.25" thickBot="1" x14ac:dyDescent="0.3">
      <c r="B78" s="184"/>
      <c r="C78" s="56">
        <v>24</v>
      </c>
      <c r="D78" s="60"/>
      <c r="E78" s="60"/>
      <c r="F78" s="60"/>
      <c r="G78" s="61"/>
      <c r="H78" s="53" t="s">
        <v>163</v>
      </c>
      <c r="I78" s="53" t="s">
        <v>164</v>
      </c>
      <c r="J78" s="53" t="s">
        <v>165</v>
      </c>
      <c r="K78" s="53" t="s">
        <v>166</v>
      </c>
      <c r="L78" s="53" t="s">
        <v>167</v>
      </c>
      <c r="M78" s="58"/>
      <c r="N78" s="57"/>
      <c r="O78" s="57"/>
      <c r="P78" s="57"/>
      <c r="Q78" s="57"/>
      <c r="R78" s="57"/>
      <c r="S78" s="57"/>
      <c r="T78" s="57"/>
      <c r="U78" s="57"/>
      <c r="V78" s="57"/>
      <c r="W78" s="57"/>
      <c r="X78" s="57"/>
      <c r="Y78" s="57"/>
      <c r="Z78" s="57"/>
      <c r="AA78" s="57"/>
      <c r="AB78" s="57"/>
      <c r="AC78" s="57"/>
      <c r="AD78" s="57"/>
      <c r="AE78" s="57"/>
      <c r="AF78" s="57"/>
      <c r="AG78" s="57"/>
      <c r="AH78" s="57"/>
      <c r="AI78" s="57"/>
      <c r="AJ78" s="57"/>
      <c r="AK78" s="57"/>
      <c r="AL78" s="57"/>
      <c r="AM78" s="57"/>
      <c r="AN78" s="57"/>
      <c r="AO78" s="57"/>
      <c r="AP78" s="57"/>
      <c r="AQ78" s="57"/>
      <c r="AR78" s="57"/>
      <c r="AS78" s="57"/>
      <c r="AT78" s="57"/>
      <c r="AU78" s="57"/>
      <c r="AV78" s="57"/>
      <c r="AW78" s="57"/>
      <c r="AX78" s="57"/>
      <c r="AY78" s="57"/>
      <c r="AZ78" s="57"/>
      <c r="BA78" s="57"/>
      <c r="BB78" s="57"/>
      <c r="BC78" s="57"/>
      <c r="BD78" s="57"/>
      <c r="BE78" s="57"/>
      <c r="BF78" s="57"/>
      <c r="BG78" s="57"/>
      <c r="BH78" s="57"/>
      <c r="BI78" s="57"/>
      <c r="BJ78" s="57"/>
      <c r="BK78" s="57"/>
      <c r="BL78" s="57"/>
      <c r="BM78" s="57"/>
      <c r="BN78" s="57"/>
      <c r="BO78" s="57"/>
      <c r="BP78" s="57"/>
      <c r="BQ78" s="57"/>
      <c r="BR78" s="57"/>
      <c r="BS78" s="57"/>
      <c r="BT78" s="57"/>
      <c r="BU78" s="57"/>
      <c r="BV78" s="57"/>
      <c r="BW78" s="57"/>
      <c r="BX78" s="57"/>
      <c r="BY78" s="57"/>
      <c r="BZ78" s="57"/>
      <c r="CA78" s="57"/>
      <c r="CB78" s="57"/>
      <c r="CC78" s="57"/>
      <c r="CD78" s="57"/>
      <c r="CE78" s="57"/>
      <c r="CF78" s="57"/>
      <c r="CG78" s="57"/>
      <c r="CH78" s="57"/>
      <c r="CI78" s="57"/>
      <c r="CJ78" s="57"/>
      <c r="CK78" s="57"/>
      <c r="CL78" s="57"/>
      <c r="CM78" s="57"/>
      <c r="CN78" s="57"/>
      <c r="CO78" s="57"/>
      <c r="CP78" s="49">
        <f t="shared" si="4"/>
        <v>0</v>
      </c>
      <c r="CQ78" s="49">
        <f t="shared" si="5"/>
        <v>0</v>
      </c>
      <c r="CR78" s="47">
        <f t="shared" si="6"/>
        <v>0</v>
      </c>
      <c r="CS78" s="48">
        <f t="shared" si="7"/>
        <v>0</v>
      </c>
    </row>
    <row r="79" spans="2:97" ht="26.25" thickBot="1" x14ac:dyDescent="0.3">
      <c r="B79" s="184"/>
      <c r="C79" s="56">
        <v>25</v>
      </c>
      <c r="D79" s="60"/>
      <c r="E79" s="60"/>
      <c r="F79" s="60"/>
      <c r="G79" s="61"/>
      <c r="H79" s="53" t="s">
        <v>163</v>
      </c>
      <c r="I79" s="53" t="s">
        <v>164</v>
      </c>
      <c r="J79" s="53" t="s">
        <v>165</v>
      </c>
      <c r="K79" s="53" t="s">
        <v>166</v>
      </c>
      <c r="L79" s="53" t="s">
        <v>167</v>
      </c>
      <c r="M79" s="59"/>
      <c r="N79" s="57"/>
      <c r="O79" s="57"/>
      <c r="P79" s="57"/>
      <c r="Q79" s="57"/>
      <c r="R79" s="57"/>
      <c r="S79" s="57"/>
      <c r="T79" s="57"/>
      <c r="U79" s="57"/>
      <c r="V79" s="57"/>
      <c r="W79" s="57"/>
      <c r="X79" s="57"/>
      <c r="Y79" s="57"/>
      <c r="Z79" s="57"/>
      <c r="AA79" s="57"/>
      <c r="AB79" s="57"/>
      <c r="AC79" s="57"/>
      <c r="AD79" s="57"/>
      <c r="AE79" s="57"/>
      <c r="AF79" s="57"/>
      <c r="AG79" s="57"/>
      <c r="AH79" s="57"/>
      <c r="AI79" s="57"/>
      <c r="AJ79" s="57"/>
      <c r="AK79" s="57"/>
      <c r="AL79" s="57"/>
      <c r="AM79" s="57"/>
      <c r="AN79" s="57"/>
      <c r="AO79" s="57"/>
      <c r="AP79" s="57"/>
      <c r="AQ79" s="57"/>
      <c r="AR79" s="57"/>
      <c r="AS79" s="57"/>
      <c r="AT79" s="57"/>
      <c r="AU79" s="57"/>
      <c r="AV79" s="57"/>
      <c r="AW79" s="57"/>
      <c r="AX79" s="57"/>
      <c r="AY79" s="57"/>
      <c r="AZ79" s="57"/>
      <c r="BA79" s="57"/>
      <c r="BB79" s="57"/>
      <c r="BC79" s="57"/>
      <c r="BD79" s="57"/>
      <c r="BE79" s="57"/>
      <c r="BF79" s="57"/>
      <c r="BG79" s="57"/>
      <c r="BH79" s="57"/>
      <c r="BI79" s="57"/>
      <c r="BJ79" s="57"/>
      <c r="BK79" s="57"/>
      <c r="BL79" s="57"/>
      <c r="BM79" s="57"/>
      <c r="BN79" s="57"/>
      <c r="BO79" s="57"/>
      <c r="BP79" s="57"/>
      <c r="BQ79" s="57"/>
      <c r="BR79" s="57"/>
      <c r="BS79" s="57"/>
      <c r="BT79" s="57"/>
      <c r="BU79" s="57"/>
      <c r="BV79" s="57"/>
      <c r="BW79" s="57"/>
      <c r="BX79" s="57"/>
      <c r="BY79" s="57"/>
      <c r="BZ79" s="57"/>
      <c r="CA79" s="57"/>
      <c r="CB79" s="57"/>
      <c r="CC79" s="57"/>
      <c r="CD79" s="57"/>
      <c r="CE79" s="57"/>
      <c r="CF79" s="57"/>
      <c r="CG79" s="57"/>
      <c r="CH79" s="57"/>
      <c r="CI79" s="57"/>
      <c r="CJ79" s="57"/>
      <c r="CK79" s="57"/>
      <c r="CL79" s="57"/>
      <c r="CM79" s="57"/>
      <c r="CN79" s="57"/>
      <c r="CO79" s="57"/>
      <c r="CP79" s="49">
        <f t="shared" si="4"/>
        <v>0</v>
      </c>
      <c r="CQ79" s="49">
        <f t="shared" si="5"/>
        <v>0</v>
      </c>
      <c r="CR79" s="47">
        <f t="shared" si="6"/>
        <v>0</v>
      </c>
      <c r="CS79" s="48">
        <f t="shared" si="7"/>
        <v>0</v>
      </c>
    </row>
    <row r="80" spans="2:97" ht="15.75" thickBot="1" x14ac:dyDescent="0.3">
      <c r="H80" s="178" t="s">
        <v>195</v>
      </c>
      <c r="I80" s="178"/>
      <c r="J80" s="179"/>
      <c r="K80" s="36">
        <v>10</v>
      </c>
      <c r="L80" s="181" t="s">
        <v>196</v>
      </c>
      <c r="M80" s="181"/>
      <c r="N80" s="63">
        <f>2*(SUM(N5:N79)/(COUNTA(N5:N79))/4)*SUM($M$5:$M$79)/4</f>
        <v>1</v>
      </c>
      <c r="O80" s="63">
        <f t="shared" ref="O80:AS80" si="8">2*(SUM(O5:O79)/(COUNTA(O5:O79))/4)*SUM($M$5:$M$79)/4</f>
        <v>0.5</v>
      </c>
      <c r="P80" s="63" t="e">
        <f t="shared" si="8"/>
        <v>#DIV/0!</v>
      </c>
      <c r="Q80" s="63" t="e">
        <f t="shared" si="8"/>
        <v>#DIV/0!</v>
      </c>
      <c r="R80" s="63" t="e">
        <f t="shared" si="8"/>
        <v>#DIV/0!</v>
      </c>
      <c r="S80" s="63" t="e">
        <f t="shared" si="8"/>
        <v>#DIV/0!</v>
      </c>
      <c r="T80" s="63" t="e">
        <f t="shared" si="8"/>
        <v>#DIV/0!</v>
      </c>
      <c r="U80" s="63" t="e">
        <f t="shared" si="8"/>
        <v>#DIV/0!</v>
      </c>
      <c r="V80" s="63" t="e">
        <f t="shared" si="8"/>
        <v>#DIV/0!</v>
      </c>
      <c r="W80" s="63" t="e">
        <f t="shared" si="8"/>
        <v>#DIV/0!</v>
      </c>
      <c r="X80" s="63" t="e">
        <f t="shared" si="8"/>
        <v>#DIV/0!</v>
      </c>
      <c r="Y80" s="63" t="e">
        <f t="shared" si="8"/>
        <v>#DIV/0!</v>
      </c>
      <c r="Z80" s="63" t="e">
        <f t="shared" si="8"/>
        <v>#DIV/0!</v>
      </c>
      <c r="AA80" s="63" t="e">
        <f t="shared" si="8"/>
        <v>#DIV/0!</v>
      </c>
      <c r="AB80" s="63" t="e">
        <f t="shared" si="8"/>
        <v>#DIV/0!</v>
      </c>
      <c r="AC80" s="63" t="e">
        <f t="shared" si="8"/>
        <v>#DIV/0!</v>
      </c>
      <c r="AD80" s="63" t="e">
        <f t="shared" si="8"/>
        <v>#DIV/0!</v>
      </c>
      <c r="AE80" s="63" t="e">
        <f t="shared" si="8"/>
        <v>#DIV/0!</v>
      </c>
      <c r="AF80" s="63" t="e">
        <f t="shared" si="8"/>
        <v>#DIV/0!</v>
      </c>
      <c r="AG80" s="63" t="e">
        <f t="shared" si="8"/>
        <v>#DIV/0!</v>
      </c>
      <c r="AH80" s="63" t="e">
        <f t="shared" si="8"/>
        <v>#DIV/0!</v>
      </c>
      <c r="AI80" s="63" t="e">
        <f t="shared" si="8"/>
        <v>#DIV/0!</v>
      </c>
      <c r="AJ80" s="63" t="e">
        <f t="shared" si="8"/>
        <v>#DIV/0!</v>
      </c>
      <c r="AK80" s="63" t="e">
        <f t="shared" si="8"/>
        <v>#DIV/0!</v>
      </c>
      <c r="AL80" s="63" t="e">
        <f t="shared" si="8"/>
        <v>#DIV/0!</v>
      </c>
      <c r="AM80" s="63" t="e">
        <f t="shared" si="8"/>
        <v>#DIV/0!</v>
      </c>
      <c r="AN80" s="63" t="e">
        <f t="shared" si="8"/>
        <v>#DIV/0!</v>
      </c>
      <c r="AO80" s="63" t="e">
        <f t="shared" si="8"/>
        <v>#DIV/0!</v>
      </c>
      <c r="AP80" s="63" t="e">
        <f t="shared" si="8"/>
        <v>#DIV/0!</v>
      </c>
      <c r="AQ80" s="63" t="e">
        <f t="shared" si="8"/>
        <v>#DIV/0!</v>
      </c>
      <c r="AR80" s="63" t="e">
        <f t="shared" si="8"/>
        <v>#DIV/0!</v>
      </c>
      <c r="AS80" s="63" t="e">
        <f t="shared" si="8"/>
        <v>#DIV/0!</v>
      </c>
      <c r="AT80" s="63" t="e">
        <f t="shared" ref="AT80:BY80" si="9">2*(SUM(AT5:AT79)/(COUNTA(AT5:AT79))/4)*SUM($M$5:$M$79)/4</f>
        <v>#DIV/0!</v>
      </c>
      <c r="AU80" s="63" t="e">
        <f t="shared" si="9"/>
        <v>#DIV/0!</v>
      </c>
      <c r="AV80" s="63" t="e">
        <f t="shared" si="9"/>
        <v>#DIV/0!</v>
      </c>
      <c r="AW80" s="63" t="e">
        <f t="shared" si="9"/>
        <v>#DIV/0!</v>
      </c>
      <c r="AX80" s="63" t="e">
        <f t="shared" si="9"/>
        <v>#DIV/0!</v>
      </c>
      <c r="AY80" s="63" t="e">
        <f t="shared" si="9"/>
        <v>#DIV/0!</v>
      </c>
      <c r="AZ80" s="63" t="e">
        <f t="shared" si="9"/>
        <v>#DIV/0!</v>
      </c>
      <c r="BA80" s="63" t="e">
        <f t="shared" si="9"/>
        <v>#DIV/0!</v>
      </c>
      <c r="BB80" s="63" t="e">
        <f t="shared" si="9"/>
        <v>#DIV/0!</v>
      </c>
      <c r="BC80" s="63" t="e">
        <f t="shared" si="9"/>
        <v>#DIV/0!</v>
      </c>
      <c r="BD80" s="63" t="e">
        <f t="shared" si="9"/>
        <v>#DIV/0!</v>
      </c>
      <c r="BE80" s="63" t="e">
        <f t="shared" si="9"/>
        <v>#DIV/0!</v>
      </c>
      <c r="BF80" s="63" t="e">
        <f t="shared" si="9"/>
        <v>#DIV/0!</v>
      </c>
      <c r="BG80" s="63" t="e">
        <f t="shared" si="9"/>
        <v>#DIV/0!</v>
      </c>
      <c r="BH80" s="63" t="e">
        <f t="shared" si="9"/>
        <v>#DIV/0!</v>
      </c>
      <c r="BI80" s="63" t="e">
        <f t="shared" si="9"/>
        <v>#DIV/0!</v>
      </c>
      <c r="BJ80" s="63" t="e">
        <f t="shared" si="9"/>
        <v>#DIV/0!</v>
      </c>
      <c r="BK80" s="63" t="e">
        <f t="shared" si="9"/>
        <v>#DIV/0!</v>
      </c>
      <c r="BL80" s="63" t="e">
        <f t="shared" si="9"/>
        <v>#DIV/0!</v>
      </c>
      <c r="BM80" s="63" t="e">
        <f t="shared" si="9"/>
        <v>#DIV/0!</v>
      </c>
      <c r="BN80" s="63" t="e">
        <f t="shared" si="9"/>
        <v>#DIV/0!</v>
      </c>
      <c r="BO80" s="63" t="e">
        <f t="shared" si="9"/>
        <v>#DIV/0!</v>
      </c>
      <c r="BP80" s="63" t="e">
        <f t="shared" si="9"/>
        <v>#DIV/0!</v>
      </c>
      <c r="BQ80" s="63" t="e">
        <f t="shared" si="9"/>
        <v>#DIV/0!</v>
      </c>
      <c r="BR80" s="63" t="e">
        <f t="shared" si="9"/>
        <v>#DIV/0!</v>
      </c>
      <c r="BS80" s="63" t="e">
        <f t="shared" si="9"/>
        <v>#DIV/0!</v>
      </c>
      <c r="BT80" s="63" t="e">
        <f t="shared" si="9"/>
        <v>#DIV/0!</v>
      </c>
      <c r="BU80" s="63" t="e">
        <f t="shared" si="9"/>
        <v>#DIV/0!</v>
      </c>
      <c r="BV80" s="63" t="e">
        <f t="shared" si="9"/>
        <v>#DIV/0!</v>
      </c>
      <c r="BW80" s="63" t="e">
        <f t="shared" si="9"/>
        <v>#DIV/0!</v>
      </c>
      <c r="BX80" s="63" t="e">
        <f t="shared" si="9"/>
        <v>#DIV/0!</v>
      </c>
      <c r="BY80" s="63" t="e">
        <f t="shared" si="9"/>
        <v>#DIV/0!</v>
      </c>
      <c r="BZ80" s="63" t="e">
        <f t="shared" ref="BZ80:CO80" si="10">2*(SUM(BZ5:BZ79)/(COUNTA(BZ5:BZ79))/4)*SUM($M$5:$M$79)/4</f>
        <v>#DIV/0!</v>
      </c>
      <c r="CA80" s="63" t="e">
        <f t="shared" si="10"/>
        <v>#DIV/0!</v>
      </c>
      <c r="CB80" s="63" t="e">
        <f t="shared" si="10"/>
        <v>#DIV/0!</v>
      </c>
      <c r="CC80" s="63" t="e">
        <f t="shared" si="10"/>
        <v>#DIV/0!</v>
      </c>
      <c r="CD80" s="63" t="e">
        <f t="shared" si="10"/>
        <v>#DIV/0!</v>
      </c>
      <c r="CE80" s="63" t="e">
        <f t="shared" si="10"/>
        <v>#DIV/0!</v>
      </c>
      <c r="CF80" s="63" t="e">
        <f t="shared" si="10"/>
        <v>#DIV/0!</v>
      </c>
      <c r="CG80" s="63" t="e">
        <f t="shared" si="10"/>
        <v>#DIV/0!</v>
      </c>
      <c r="CH80" s="63" t="e">
        <f t="shared" si="10"/>
        <v>#DIV/0!</v>
      </c>
      <c r="CI80" s="63" t="e">
        <f t="shared" si="10"/>
        <v>#DIV/0!</v>
      </c>
      <c r="CJ80" s="63" t="e">
        <f t="shared" si="10"/>
        <v>#DIV/0!</v>
      </c>
      <c r="CK80" s="63" t="e">
        <f t="shared" si="10"/>
        <v>#DIV/0!</v>
      </c>
      <c r="CL80" s="63" t="e">
        <f t="shared" si="10"/>
        <v>#DIV/0!</v>
      </c>
      <c r="CM80" s="63" t="e">
        <f t="shared" si="10"/>
        <v>#DIV/0!</v>
      </c>
      <c r="CN80" s="63" t="e">
        <f t="shared" si="10"/>
        <v>#DIV/0!</v>
      </c>
      <c r="CO80" s="63" t="e">
        <f t="shared" si="10"/>
        <v>#DIV/0!</v>
      </c>
    </row>
    <row r="81" spans="12:95" ht="15.75" thickBot="1" x14ac:dyDescent="0.3">
      <c r="L81" s="180" t="s">
        <v>197</v>
      </c>
      <c r="M81" s="180"/>
      <c r="N81" s="172">
        <f>N80*$K$80</f>
        <v>10</v>
      </c>
      <c r="O81" s="172"/>
      <c r="P81" s="172" t="e">
        <f>P80*$K$80</f>
        <v>#DIV/0!</v>
      </c>
      <c r="Q81" s="172"/>
      <c r="R81" s="172" t="e">
        <f>R80*$K$80</f>
        <v>#DIV/0!</v>
      </c>
      <c r="S81" s="172"/>
      <c r="T81" s="172" t="e">
        <f>T80*$K$80</f>
        <v>#DIV/0!</v>
      </c>
      <c r="U81" s="172"/>
      <c r="V81" s="172" t="e">
        <f>V80*$K$80</f>
        <v>#DIV/0!</v>
      </c>
      <c r="W81" s="172"/>
      <c r="X81" s="172" t="e">
        <f>X80*$K$80</f>
        <v>#DIV/0!</v>
      </c>
      <c r="Y81" s="172"/>
      <c r="Z81" s="172" t="e">
        <f>Z80*$K$80</f>
        <v>#DIV/0!</v>
      </c>
      <c r="AA81" s="172"/>
      <c r="AB81" s="172" t="e">
        <f>AB80*$K$80</f>
        <v>#DIV/0!</v>
      </c>
      <c r="AC81" s="172"/>
      <c r="AD81" s="172" t="e">
        <f>AD80*$K$80</f>
        <v>#DIV/0!</v>
      </c>
      <c r="AE81" s="172"/>
      <c r="AF81" s="172" t="e">
        <f>AF80*$K$80</f>
        <v>#DIV/0!</v>
      </c>
      <c r="AG81" s="172"/>
      <c r="AH81" s="172" t="e">
        <f>AH80*$K$80</f>
        <v>#DIV/0!</v>
      </c>
      <c r="AI81" s="172"/>
      <c r="AJ81" s="172" t="e">
        <f>AJ80*$K$80</f>
        <v>#DIV/0!</v>
      </c>
      <c r="AK81" s="172"/>
      <c r="AL81" s="172" t="e">
        <f>AL80*$K$80</f>
        <v>#DIV/0!</v>
      </c>
      <c r="AM81" s="172"/>
      <c r="AN81" s="172" t="e">
        <f>AN80*$K$80</f>
        <v>#DIV/0!</v>
      </c>
      <c r="AO81" s="172"/>
      <c r="AP81" s="172" t="e">
        <f>AP80*$K$80</f>
        <v>#DIV/0!</v>
      </c>
      <c r="AQ81" s="172"/>
      <c r="AR81" s="172" t="e">
        <f>AR80*$K$80</f>
        <v>#DIV/0!</v>
      </c>
      <c r="AS81" s="172"/>
      <c r="AT81" s="172" t="e">
        <f>AT80*$K$80</f>
        <v>#DIV/0!</v>
      </c>
      <c r="AU81" s="172"/>
      <c r="AV81" s="172" t="e">
        <f>AV80*$K$80</f>
        <v>#DIV/0!</v>
      </c>
      <c r="AW81" s="172"/>
      <c r="AX81" s="172" t="e">
        <f>AX80*$K$80</f>
        <v>#DIV/0!</v>
      </c>
      <c r="AY81" s="172"/>
      <c r="AZ81" s="172" t="e">
        <f>AZ80*$K$80</f>
        <v>#DIV/0!</v>
      </c>
      <c r="BA81" s="172"/>
      <c r="BB81" s="172" t="e">
        <f>BB80*$K$80</f>
        <v>#DIV/0!</v>
      </c>
      <c r="BC81" s="172"/>
      <c r="BD81" s="172" t="e">
        <f>BD80*$K$80</f>
        <v>#DIV/0!</v>
      </c>
      <c r="BE81" s="172"/>
      <c r="BF81" s="172" t="e">
        <f>BF80*$K$80</f>
        <v>#DIV/0!</v>
      </c>
      <c r="BG81" s="172"/>
      <c r="BH81" s="172" t="e">
        <f>BH80*$K$80</f>
        <v>#DIV/0!</v>
      </c>
      <c r="BI81" s="172"/>
      <c r="BJ81" s="172" t="e">
        <f>BJ80*$K$80</f>
        <v>#DIV/0!</v>
      </c>
      <c r="BK81" s="172"/>
      <c r="BL81" s="172" t="e">
        <f>BL80*$K$80</f>
        <v>#DIV/0!</v>
      </c>
      <c r="BM81" s="172"/>
      <c r="BN81" s="172" t="e">
        <f>BN80*$K$80</f>
        <v>#DIV/0!</v>
      </c>
      <c r="BO81" s="172"/>
      <c r="BP81" s="172" t="e">
        <f>BP80*$K$80</f>
        <v>#DIV/0!</v>
      </c>
      <c r="BQ81" s="172"/>
      <c r="BR81" s="172" t="e">
        <f>BR80*$K$80</f>
        <v>#DIV/0!</v>
      </c>
      <c r="BS81" s="172"/>
      <c r="BT81" s="172" t="e">
        <f>BT80*$K$80</f>
        <v>#DIV/0!</v>
      </c>
      <c r="BU81" s="172"/>
      <c r="BV81" s="172" t="e">
        <f>BV80*$K$80</f>
        <v>#DIV/0!</v>
      </c>
      <c r="BW81" s="172"/>
      <c r="BX81" s="172" t="e">
        <f>BX80*$K$80</f>
        <v>#DIV/0!</v>
      </c>
      <c r="BY81" s="172"/>
      <c r="BZ81" s="172" t="e">
        <f>BZ80*$K$80</f>
        <v>#DIV/0!</v>
      </c>
      <c r="CA81" s="172"/>
      <c r="CB81" s="172" t="e">
        <f>CB80*$K$80</f>
        <v>#DIV/0!</v>
      </c>
      <c r="CC81" s="172"/>
      <c r="CD81" s="172" t="e">
        <f>CD80*$K$80</f>
        <v>#DIV/0!</v>
      </c>
      <c r="CE81" s="172"/>
      <c r="CF81" s="172" t="e">
        <f>CF80*$K$80</f>
        <v>#DIV/0!</v>
      </c>
      <c r="CG81" s="172"/>
      <c r="CH81" s="172" t="e">
        <f>CH80*$K$80</f>
        <v>#DIV/0!</v>
      </c>
      <c r="CI81" s="172"/>
      <c r="CJ81" s="172" t="e">
        <f>CJ80*$K$80</f>
        <v>#DIV/0!</v>
      </c>
      <c r="CK81" s="172"/>
      <c r="CL81" s="172" t="e">
        <f>CL80*$K$80</f>
        <v>#DIV/0!</v>
      </c>
      <c r="CM81" s="172"/>
      <c r="CN81" s="172" t="e">
        <f>CN80*$K$80</f>
        <v>#DIV/0!</v>
      </c>
      <c r="CO81" s="172"/>
    </row>
    <row r="82" spans="12:95" ht="15.75" thickBot="1" x14ac:dyDescent="0.3">
      <c r="L82" s="180" t="s">
        <v>198</v>
      </c>
      <c r="M82" s="180"/>
      <c r="N82" s="172">
        <f>O80*$K$80</f>
        <v>5</v>
      </c>
      <c r="O82" s="172"/>
      <c r="P82" s="172" t="e">
        <f>Q80*$K$80</f>
        <v>#DIV/0!</v>
      </c>
      <c r="Q82" s="172"/>
      <c r="R82" s="172" t="e">
        <f>S80*$K$80</f>
        <v>#DIV/0!</v>
      </c>
      <c r="S82" s="172"/>
      <c r="T82" s="172" t="e">
        <f>U80*$K$80</f>
        <v>#DIV/0!</v>
      </c>
      <c r="U82" s="172"/>
      <c r="V82" s="172" t="e">
        <f>W80*$K$80</f>
        <v>#DIV/0!</v>
      </c>
      <c r="W82" s="172"/>
      <c r="X82" s="172" t="e">
        <f>Y80*$K$80</f>
        <v>#DIV/0!</v>
      </c>
      <c r="Y82" s="172"/>
      <c r="Z82" s="172" t="e">
        <f>AA80*$K$80</f>
        <v>#DIV/0!</v>
      </c>
      <c r="AA82" s="172"/>
      <c r="AB82" s="172" t="e">
        <f>AC80*$K$80</f>
        <v>#DIV/0!</v>
      </c>
      <c r="AC82" s="172"/>
      <c r="AD82" s="172" t="e">
        <f>AE80*$K$80</f>
        <v>#DIV/0!</v>
      </c>
      <c r="AE82" s="172"/>
      <c r="AF82" s="172" t="e">
        <f>AG80*$K$80</f>
        <v>#DIV/0!</v>
      </c>
      <c r="AG82" s="172"/>
      <c r="AH82" s="172" t="e">
        <f>AI80*$K$80</f>
        <v>#DIV/0!</v>
      </c>
      <c r="AI82" s="172"/>
      <c r="AJ82" s="172" t="e">
        <f>AK80*$K$80</f>
        <v>#DIV/0!</v>
      </c>
      <c r="AK82" s="172"/>
      <c r="AL82" s="172" t="e">
        <f>AM80*$K$80</f>
        <v>#DIV/0!</v>
      </c>
      <c r="AM82" s="172"/>
      <c r="AN82" s="172" t="e">
        <f>AO80*$K$80</f>
        <v>#DIV/0!</v>
      </c>
      <c r="AO82" s="172"/>
      <c r="AP82" s="172" t="e">
        <f>AQ80*$K$80</f>
        <v>#DIV/0!</v>
      </c>
      <c r="AQ82" s="172"/>
      <c r="AR82" s="172" t="e">
        <f>AS80*$K$80</f>
        <v>#DIV/0!</v>
      </c>
      <c r="AS82" s="172"/>
      <c r="AT82" s="172" t="e">
        <f>AU80*$K$80</f>
        <v>#DIV/0!</v>
      </c>
      <c r="AU82" s="172"/>
      <c r="AV82" s="172" t="e">
        <f>AW80*$K$80</f>
        <v>#DIV/0!</v>
      </c>
      <c r="AW82" s="172"/>
      <c r="AX82" s="172" t="e">
        <f>AY80*$K$80</f>
        <v>#DIV/0!</v>
      </c>
      <c r="AY82" s="172"/>
      <c r="AZ82" s="172" t="e">
        <f>BA80*$K$80</f>
        <v>#DIV/0!</v>
      </c>
      <c r="BA82" s="172"/>
      <c r="BB82" s="172" t="e">
        <f>BC80*$K$80</f>
        <v>#DIV/0!</v>
      </c>
      <c r="BC82" s="172"/>
      <c r="BD82" s="172" t="e">
        <f>BE80*$K$80</f>
        <v>#DIV/0!</v>
      </c>
      <c r="BE82" s="172"/>
      <c r="BF82" s="172" t="e">
        <f>BG80*$K$80</f>
        <v>#DIV/0!</v>
      </c>
      <c r="BG82" s="172"/>
      <c r="BH82" s="172" t="e">
        <f>BI80*$K$80</f>
        <v>#DIV/0!</v>
      </c>
      <c r="BI82" s="172"/>
      <c r="BJ82" s="172" t="e">
        <f>BK80*$K$80</f>
        <v>#DIV/0!</v>
      </c>
      <c r="BK82" s="172"/>
      <c r="BL82" s="172" t="e">
        <f>BM80*$K$80</f>
        <v>#DIV/0!</v>
      </c>
      <c r="BM82" s="172"/>
      <c r="BN82" s="172" t="e">
        <f>BO80*$K$80</f>
        <v>#DIV/0!</v>
      </c>
      <c r="BO82" s="172"/>
      <c r="BP82" s="172" t="e">
        <f>BQ80*$K$80</f>
        <v>#DIV/0!</v>
      </c>
      <c r="BQ82" s="172"/>
      <c r="BR82" s="172" t="e">
        <f>BS80*$K$80</f>
        <v>#DIV/0!</v>
      </c>
      <c r="BS82" s="172"/>
      <c r="BT82" s="172" t="e">
        <f>BU80*$K$80</f>
        <v>#DIV/0!</v>
      </c>
      <c r="BU82" s="172"/>
      <c r="BV82" s="172" t="e">
        <f>BW80*$K$80</f>
        <v>#DIV/0!</v>
      </c>
      <c r="BW82" s="172"/>
      <c r="BX82" s="172" t="e">
        <f>BY80*$K$80</f>
        <v>#DIV/0!</v>
      </c>
      <c r="BY82" s="172"/>
      <c r="BZ82" s="172" t="e">
        <f>CA80*$K$80</f>
        <v>#DIV/0!</v>
      </c>
      <c r="CA82" s="172"/>
      <c r="CB82" s="172" t="e">
        <f>CC80*$K$80</f>
        <v>#DIV/0!</v>
      </c>
      <c r="CC82" s="172"/>
      <c r="CD82" s="172" t="e">
        <f>CE80*$K$80</f>
        <v>#DIV/0!</v>
      </c>
      <c r="CE82" s="172"/>
      <c r="CF82" s="172" t="e">
        <f>CG80*$K$80</f>
        <v>#DIV/0!</v>
      </c>
      <c r="CG82" s="172"/>
      <c r="CH82" s="172" t="e">
        <f>CI80*$K$80</f>
        <v>#DIV/0!</v>
      </c>
      <c r="CI82" s="172"/>
      <c r="CJ82" s="172" t="e">
        <f>CK80*$K$80</f>
        <v>#DIV/0!</v>
      </c>
      <c r="CK82" s="172"/>
      <c r="CL82" s="172" t="e">
        <f>CM80*$K$80</f>
        <v>#DIV/0!</v>
      </c>
      <c r="CM82" s="172"/>
      <c r="CN82" s="172" t="e">
        <f>CO80*$K$80</f>
        <v>#DIV/0!</v>
      </c>
      <c r="CO82" s="172"/>
    </row>
    <row r="83" spans="12:95" ht="15.75" thickBot="1" x14ac:dyDescent="0.3">
      <c r="L83" s="171" t="s">
        <v>199</v>
      </c>
      <c r="M83" s="171"/>
      <c r="N83" s="168">
        <f>AVERAGE(N81:O82)*10</f>
        <v>75</v>
      </c>
      <c r="O83" s="169"/>
      <c r="P83" s="168" t="e">
        <f>AVERAGE(P81:Q82)*10</f>
        <v>#DIV/0!</v>
      </c>
      <c r="Q83" s="169"/>
      <c r="R83" s="168" t="e">
        <f>AVERAGE(R81:S82)*10</f>
        <v>#DIV/0!</v>
      </c>
      <c r="S83" s="169"/>
      <c r="T83" s="168" t="e">
        <f>AVERAGE(T81:U82)*10</f>
        <v>#DIV/0!</v>
      </c>
      <c r="U83" s="169"/>
      <c r="V83" s="168" t="e">
        <f>AVERAGE(V81:W82)*10</f>
        <v>#DIV/0!</v>
      </c>
      <c r="W83" s="169"/>
      <c r="X83" s="168" t="e">
        <f>AVERAGE(X81:Y82)*10</f>
        <v>#DIV/0!</v>
      </c>
      <c r="Y83" s="169"/>
      <c r="Z83" s="168" t="e">
        <f>AVERAGE(Z81:AA82)*10</f>
        <v>#DIV/0!</v>
      </c>
      <c r="AA83" s="169"/>
      <c r="AB83" s="168" t="e">
        <f>AVERAGE(AB81:AC82)*10</f>
        <v>#DIV/0!</v>
      </c>
      <c r="AC83" s="169"/>
      <c r="AD83" s="168" t="e">
        <f>AVERAGE(AD81:AE82)*10</f>
        <v>#DIV/0!</v>
      </c>
      <c r="AE83" s="169"/>
      <c r="AF83" s="168" t="e">
        <f>AVERAGE(AF81:AG82)*10</f>
        <v>#DIV/0!</v>
      </c>
      <c r="AG83" s="169"/>
      <c r="AH83" s="168" t="e">
        <f>AVERAGE(AH81:AI82)*10</f>
        <v>#DIV/0!</v>
      </c>
      <c r="AI83" s="169"/>
      <c r="AJ83" s="168" t="e">
        <f>AVERAGE(AJ81:AK82)*10</f>
        <v>#DIV/0!</v>
      </c>
      <c r="AK83" s="169"/>
      <c r="AL83" s="168" t="e">
        <f>AVERAGE(AL81:AM82)*10</f>
        <v>#DIV/0!</v>
      </c>
      <c r="AM83" s="169"/>
      <c r="AN83" s="168" t="e">
        <f>AVERAGE(AN81:AO82)*10</f>
        <v>#DIV/0!</v>
      </c>
      <c r="AO83" s="169"/>
      <c r="AP83" s="168" t="e">
        <f>AVERAGE(AP81:AQ82)*10</f>
        <v>#DIV/0!</v>
      </c>
      <c r="AQ83" s="169"/>
      <c r="AR83" s="168" t="e">
        <f>AVERAGE(AR81:AS82)*10</f>
        <v>#DIV/0!</v>
      </c>
      <c r="AS83" s="169"/>
      <c r="AT83" s="168" t="e">
        <f>AVERAGE(AT81:AU82)*10</f>
        <v>#DIV/0!</v>
      </c>
      <c r="AU83" s="169"/>
      <c r="AV83" s="168" t="e">
        <f>AVERAGE(AV81:AW82)*10</f>
        <v>#DIV/0!</v>
      </c>
      <c r="AW83" s="169"/>
      <c r="AX83" s="168" t="e">
        <f>AVERAGE(AX81:AY82)*10</f>
        <v>#DIV/0!</v>
      </c>
      <c r="AY83" s="169"/>
      <c r="AZ83" s="168" t="e">
        <f>AVERAGE(AZ81:BA82)*10</f>
        <v>#DIV/0!</v>
      </c>
      <c r="BA83" s="169"/>
      <c r="BB83" s="168" t="e">
        <f>AVERAGE(BB81:BC82)*10</f>
        <v>#DIV/0!</v>
      </c>
      <c r="BC83" s="169"/>
      <c r="BD83" s="168" t="e">
        <f>AVERAGE(BD81:BE82)*10</f>
        <v>#DIV/0!</v>
      </c>
      <c r="BE83" s="169"/>
      <c r="BF83" s="168" t="e">
        <f>AVERAGE(BF81:BG82)*10</f>
        <v>#DIV/0!</v>
      </c>
      <c r="BG83" s="169"/>
      <c r="BH83" s="168" t="e">
        <f>AVERAGE(BH81:BI82)*10</f>
        <v>#DIV/0!</v>
      </c>
      <c r="BI83" s="169"/>
      <c r="BJ83" s="168" t="e">
        <f>AVERAGE(BJ81:BK82)*10</f>
        <v>#DIV/0!</v>
      </c>
      <c r="BK83" s="169"/>
      <c r="BL83" s="168" t="e">
        <f>AVERAGE(BL81:BM82)*10</f>
        <v>#DIV/0!</v>
      </c>
      <c r="BM83" s="169"/>
      <c r="BN83" s="168" t="e">
        <f>AVERAGE(BN81:BO82)*10</f>
        <v>#DIV/0!</v>
      </c>
      <c r="BO83" s="169"/>
      <c r="BP83" s="168" t="e">
        <f>AVERAGE(BP81:BQ82)*10</f>
        <v>#DIV/0!</v>
      </c>
      <c r="BQ83" s="169"/>
      <c r="BR83" s="168" t="e">
        <f>AVERAGE(BR81:BS82)*10</f>
        <v>#DIV/0!</v>
      </c>
      <c r="BS83" s="169"/>
      <c r="BT83" s="168" t="e">
        <f>AVERAGE(BT81:BU82)*10</f>
        <v>#DIV/0!</v>
      </c>
      <c r="BU83" s="169"/>
      <c r="BV83" s="168" t="e">
        <f>AVERAGE(BV81:BW82)*10</f>
        <v>#DIV/0!</v>
      </c>
      <c r="BW83" s="169"/>
      <c r="BX83" s="168" t="e">
        <f>AVERAGE(BX81:BY82)*10</f>
        <v>#DIV/0!</v>
      </c>
      <c r="BY83" s="169"/>
      <c r="BZ83" s="168" t="e">
        <f>AVERAGE(BZ81:CA82)*10</f>
        <v>#DIV/0!</v>
      </c>
      <c r="CA83" s="169"/>
      <c r="CB83" s="168" t="e">
        <f>AVERAGE(CB81:CC82)*10</f>
        <v>#DIV/0!</v>
      </c>
      <c r="CC83" s="169"/>
      <c r="CD83" s="168" t="e">
        <f>AVERAGE(CD81:CE82)*10</f>
        <v>#DIV/0!</v>
      </c>
      <c r="CE83" s="169"/>
      <c r="CF83" s="168" t="e">
        <f>AVERAGE(CF81:CG82)*10</f>
        <v>#DIV/0!</v>
      </c>
      <c r="CG83" s="169"/>
      <c r="CH83" s="168" t="e">
        <f>AVERAGE(CH81:CI82)*10</f>
        <v>#DIV/0!</v>
      </c>
      <c r="CI83" s="169"/>
      <c r="CJ83" s="168" t="e">
        <f>AVERAGE(CJ81:CK82)*10</f>
        <v>#DIV/0!</v>
      </c>
      <c r="CK83" s="169"/>
      <c r="CL83" s="168" t="e">
        <f>AVERAGE(CL81:CM82)*10</f>
        <v>#DIV/0!</v>
      </c>
      <c r="CM83" s="169"/>
      <c r="CN83" s="168" t="e">
        <f>AVERAGE(CN81:CO82)*10</f>
        <v>#DIV/0!</v>
      </c>
      <c r="CO83" s="170"/>
      <c r="CP83" s="190"/>
      <c r="CQ83" s="191"/>
    </row>
    <row r="84" spans="12:95" x14ac:dyDescent="0.25">
      <c r="L84" s="3"/>
      <c r="M84" s="3"/>
      <c r="CP84" s="190"/>
      <c r="CQ84" s="191"/>
    </row>
    <row r="85" spans="12:95" x14ac:dyDescent="0.25">
      <c r="M85" s="1"/>
      <c r="N85" s="2"/>
    </row>
  </sheetData>
  <sheetProtection algorithmName="SHA-512" hashValue="Vce7L2AbAp0BNGbF2p32kOIDs8ng9iuQHTL/VhKBd9bFubPgB/rUviezHS60he4+TLd0gi7hnfOV1Sm3eagvbQ==" saltValue="J7jhO5cVzHOQ097VoEJ4eA==" spinCount="100000" sheet="1" objects="1" scenarios="1"/>
  <mergeCells count="219">
    <mergeCell ref="CP83:CQ83"/>
    <mergeCell ref="CP84:CQ84"/>
    <mergeCell ref="B1:M1"/>
    <mergeCell ref="N2:O2"/>
    <mergeCell ref="P2:Q2"/>
    <mergeCell ref="R2:S2"/>
    <mergeCell ref="T2:U2"/>
    <mergeCell ref="B55:B79"/>
    <mergeCell ref="AH2:AI2"/>
    <mergeCell ref="AJ2:AK2"/>
    <mergeCell ref="AL2:AM2"/>
    <mergeCell ref="E3:E4"/>
    <mergeCell ref="G3:G4"/>
    <mergeCell ref="AN2:AO2"/>
    <mergeCell ref="AP2:AQ2"/>
    <mergeCell ref="AR2:AS2"/>
    <mergeCell ref="V2:W2"/>
    <mergeCell ref="X2:Y2"/>
    <mergeCell ref="Z2:AA2"/>
    <mergeCell ref="AB2:AC2"/>
    <mergeCell ref="AD2:AE2"/>
    <mergeCell ref="AF2:AG2"/>
    <mergeCell ref="BJ2:BK2"/>
    <mergeCell ref="BL2:BM2"/>
    <mergeCell ref="BN2:BO2"/>
    <mergeCell ref="BP2:BQ2"/>
    <mergeCell ref="AT2:AU2"/>
    <mergeCell ref="AV2:AW2"/>
    <mergeCell ref="AX2:AY2"/>
    <mergeCell ref="AZ2:BA2"/>
    <mergeCell ref="BB2:BC2"/>
    <mergeCell ref="BD2:BE2"/>
    <mergeCell ref="CP2:CS2"/>
    <mergeCell ref="CD2:CE2"/>
    <mergeCell ref="CF2:CG2"/>
    <mergeCell ref="CH2:CI2"/>
    <mergeCell ref="CJ2:CK2"/>
    <mergeCell ref="CL2:CM2"/>
    <mergeCell ref="CN2:CO2"/>
    <mergeCell ref="BR2:BS2"/>
    <mergeCell ref="BT2:BU2"/>
    <mergeCell ref="BV2:BW2"/>
    <mergeCell ref="BX2:BY2"/>
    <mergeCell ref="BZ2:CA2"/>
    <mergeCell ref="CB2:CC2"/>
    <mergeCell ref="BF2:BG2"/>
    <mergeCell ref="BH2:BI2"/>
    <mergeCell ref="D3:D4"/>
    <mergeCell ref="H3:L3"/>
    <mergeCell ref="N3:O3"/>
    <mergeCell ref="P3:Q3"/>
    <mergeCell ref="R3:S3"/>
    <mergeCell ref="T3:U3"/>
    <mergeCell ref="V3:W3"/>
    <mergeCell ref="X3:Y3"/>
    <mergeCell ref="Z3:AA3"/>
    <mergeCell ref="AN3:AO3"/>
    <mergeCell ref="AP3:AQ3"/>
    <mergeCell ref="AR3:AS3"/>
    <mergeCell ref="AT3:AU3"/>
    <mergeCell ref="AV3:AW3"/>
    <mergeCell ref="AX3:AY3"/>
    <mergeCell ref="AB3:AC3"/>
    <mergeCell ref="AD3:AE3"/>
    <mergeCell ref="AF3:AG3"/>
    <mergeCell ref="AH3:AI3"/>
    <mergeCell ref="AJ3:AK3"/>
    <mergeCell ref="AL3:AM3"/>
    <mergeCell ref="L80:M80"/>
    <mergeCell ref="CJ3:CK3"/>
    <mergeCell ref="CL3:CM3"/>
    <mergeCell ref="CN3:CO3"/>
    <mergeCell ref="CP3:CS3"/>
    <mergeCell ref="B5:B54"/>
    <mergeCell ref="BX3:BY3"/>
    <mergeCell ref="BZ3:CA3"/>
    <mergeCell ref="CB3:CC3"/>
    <mergeCell ref="CD3:CE3"/>
    <mergeCell ref="CF3:CG3"/>
    <mergeCell ref="CH3:CI3"/>
    <mergeCell ref="BL3:BM3"/>
    <mergeCell ref="BN3:BO3"/>
    <mergeCell ref="BP3:BQ3"/>
    <mergeCell ref="BR3:BS3"/>
    <mergeCell ref="BT3:BU3"/>
    <mergeCell ref="BV3:BW3"/>
    <mergeCell ref="AZ3:BA3"/>
    <mergeCell ref="BB3:BC3"/>
    <mergeCell ref="BD3:BE3"/>
    <mergeCell ref="BF3:BG3"/>
    <mergeCell ref="BH3:BI3"/>
    <mergeCell ref="BJ3:BK3"/>
    <mergeCell ref="AJ81:AK81"/>
    <mergeCell ref="AL81:AM81"/>
    <mergeCell ref="AN81:AO81"/>
    <mergeCell ref="L81:M81"/>
    <mergeCell ref="N81:O81"/>
    <mergeCell ref="P81:Q81"/>
    <mergeCell ref="R81:S81"/>
    <mergeCell ref="T81:U81"/>
    <mergeCell ref="V81:W81"/>
    <mergeCell ref="X81:Y81"/>
    <mergeCell ref="Z81:AA81"/>
    <mergeCell ref="AB81:AC81"/>
    <mergeCell ref="CB81:CC81"/>
    <mergeCell ref="CD81:CE81"/>
    <mergeCell ref="CF81:CG81"/>
    <mergeCell ref="CH81:CI81"/>
    <mergeCell ref="CJ81:CK81"/>
    <mergeCell ref="BN81:BO81"/>
    <mergeCell ref="BP81:BQ81"/>
    <mergeCell ref="BR81:BS81"/>
    <mergeCell ref="BT81:BU81"/>
    <mergeCell ref="BV81:BW81"/>
    <mergeCell ref="BX81:BY81"/>
    <mergeCell ref="L82:M82"/>
    <mergeCell ref="N82:O82"/>
    <mergeCell ref="P82:Q82"/>
    <mergeCell ref="R82:S82"/>
    <mergeCell ref="T82:U82"/>
    <mergeCell ref="V82:W82"/>
    <mergeCell ref="X82:Y82"/>
    <mergeCell ref="Z82:AA82"/>
    <mergeCell ref="BZ81:CA81"/>
    <mergeCell ref="BB81:BC81"/>
    <mergeCell ref="BD81:BE81"/>
    <mergeCell ref="BF81:BG81"/>
    <mergeCell ref="BH81:BI81"/>
    <mergeCell ref="BJ81:BK81"/>
    <mergeCell ref="BL81:BM81"/>
    <mergeCell ref="AP81:AQ81"/>
    <mergeCell ref="AR81:AS81"/>
    <mergeCell ref="AT81:AU81"/>
    <mergeCell ref="AV81:AW81"/>
    <mergeCell ref="AX81:AY81"/>
    <mergeCell ref="AZ81:BA81"/>
    <mergeCell ref="AD81:AE81"/>
    <mergeCell ref="AF81:AG81"/>
    <mergeCell ref="AH81:AI81"/>
    <mergeCell ref="CJ82:CK82"/>
    <mergeCell ref="CL82:CM82"/>
    <mergeCell ref="CN82:CO82"/>
    <mergeCell ref="F3:F4"/>
    <mergeCell ref="D2:M2"/>
    <mergeCell ref="C2:C4"/>
    <mergeCell ref="BX82:BY82"/>
    <mergeCell ref="BZ82:CA82"/>
    <mergeCell ref="CB82:CC82"/>
    <mergeCell ref="CD82:CE82"/>
    <mergeCell ref="CF82:CG82"/>
    <mergeCell ref="CH82:CI82"/>
    <mergeCell ref="BL82:BM82"/>
    <mergeCell ref="BN82:BO82"/>
    <mergeCell ref="BP82:BQ82"/>
    <mergeCell ref="BR82:BS82"/>
    <mergeCell ref="BT82:BU82"/>
    <mergeCell ref="BV82:BW82"/>
    <mergeCell ref="AZ82:BA82"/>
    <mergeCell ref="BB82:BC82"/>
    <mergeCell ref="BD82:BE82"/>
    <mergeCell ref="H80:J80"/>
    <mergeCell ref="CL81:CM81"/>
    <mergeCell ref="CN81:CO81"/>
    <mergeCell ref="L83:M83"/>
    <mergeCell ref="N83:O83"/>
    <mergeCell ref="P83:Q83"/>
    <mergeCell ref="R83:S83"/>
    <mergeCell ref="T83:U83"/>
    <mergeCell ref="V83:W83"/>
    <mergeCell ref="BF82:BG82"/>
    <mergeCell ref="BH82:BI82"/>
    <mergeCell ref="BJ82:BK82"/>
    <mergeCell ref="AN82:AO82"/>
    <mergeCell ref="AP82:AQ82"/>
    <mergeCell ref="AR82:AS82"/>
    <mergeCell ref="AT82:AU82"/>
    <mergeCell ref="AV82:AW82"/>
    <mergeCell ref="AX82:AY82"/>
    <mergeCell ref="AB82:AC82"/>
    <mergeCell ref="AD82:AE82"/>
    <mergeCell ref="AF82:AG82"/>
    <mergeCell ref="AH82:AI82"/>
    <mergeCell ref="AJ82:AK82"/>
    <mergeCell ref="AL82:AM82"/>
    <mergeCell ref="AJ83:AK83"/>
    <mergeCell ref="AL83:AM83"/>
    <mergeCell ref="AN83:AO83"/>
    <mergeCell ref="AP83:AQ83"/>
    <mergeCell ref="AR83:AS83"/>
    <mergeCell ref="AT83:AU83"/>
    <mergeCell ref="X83:Y83"/>
    <mergeCell ref="Z83:AA83"/>
    <mergeCell ref="AB83:AC83"/>
    <mergeCell ref="AD83:AE83"/>
    <mergeCell ref="AF83:AG83"/>
    <mergeCell ref="AH83:AI83"/>
    <mergeCell ref="BH83:BI83"/>
    <mergeCell ref="BJ83:BK83"/>
    <mergeCell ref="BL83:BM83"/>
    <mergeCell ref="BN83:BO83"/>
    <mergeCell ref="BP83:BQ83"/>
    <mergeCell ref="BR83:BS83"/>
    <mergeCell ref="AV83:AW83"/>
    <mergeCell ref="AX83:AY83"/>
    <mergeCell ref="AZ83:BA83"/>
    <mergeCell ref="BB83:BC83"/>
    <mergeCell ref="BD83:BE83"/>
    <mergeCell ref="BF83:BG83"/>
    <mergeCell ref="CF83:CG83"/>
    <mergeCell ref="CH83:CI83"/>
    <mergeCell ref="CJ83:CK83"/>
    <mergeCell ref="CL83:CM83"/>
    <mergeCell ref="CN83:CO83"/>
    <mergeCell ref="BT83:BU83"/>
    <mergeCell ref="BV83:BW83"/>
    <mergeCell ref="BX83:BY83"/>
    <mergeCell ref="BZ83:CA83"/>
    <mergeCell ref="CB83:CC83"/>
    <mergeCell ref="CD83:CE83"/>
  </mergeCells>
  <phoneticPr fontId="10" type="noConversion"/>
  <pageMargins left="0.511811024" right="0.511811024" top="0.78740157499999996" bottom="0.78740157499999996" header="0.31496062000000002" footer="0.31496062000000002"/>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AA86D63-6E2A-4BAD-9659-BACEDBF558B1}">
          <x14:formula1>
            <xm:f>Base!$E$1:$E$21</xm:f>
          </x14:formula1>
          <xm:sqref>G5:G79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10</vt:i4>
      </vt:variant>
    </vt:vector>
  </HeadingPairs>
  <TitlesOfParts>
    <vt:vector size="18" baseType="lpstr">
      <vt:lpstr>Base</vt:lpstr>
      <vt:lpstr>Plano de Ensino</vt:lpstr>
      <vt:lpstr>SA01</vt:lpstr>
      <vt:lpstr>SA02</vt:lpstr>
      <vt:lpstr>SA03</vt:lpstr>
      <vt:lpstr>SA04</vt:lpstr>
      <vt:lpstr>SA05</vt:lpstr>
      <vt:lpstr>Padrão de Desempenho</vt:lpstr>
      <vt:lpstr>'SA01'!Area_de_impressao</vt:lpstr>
      <vt:lpstr>'SA02'!Area_de_impressao</vt:lpstr>
      <vt:lpstr>'SA03'!Area_de_impressao</vt:lpstr>
      <vt:lpstr>'SA04'!Area_de_impressao</vt:lpstr>
      <vt:lpstr>'SA05'!Area_de_impressao</vt:lpstr>
      <vt:lpstr>'SA01'!Titulos_de_impressao</vt:lpstr>
      <vt:lpstr>'SA02'!Titulos_de_impressao</vt:lpstr>
      <vt:lpstr>'SA03'!Titulos_de_impressao</vt:lpstr>
      <vt:lpstr>'SA04'!Titulos_de_impressao</vt:lpstr>
      <vt:lpstr>'SA05'!Titulos_de_impressao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Elaine Andrade</dc:creator>
  <cp:keywords/>
  <dc:description/>
  <cp:lastModifiedBy>weslyn figueredo</cp:lastModifiedBy>
  <cp:revision/>
  <cp:lastPrinted>2026-01-16T17:10:08Z</cp:lastPrinted>
  <dcterms:created xsi:type="dcterms:W3CDTF">2016-10-11T12:20:40Z</dcterms:created>
  <dcterms:modified xsi:type="dcterms:W3CDTF">2026-08-19T14:09:17Z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88f678-0b6e-4995-8ab3-bcc8062be905_Enabled">
    <vt:lpwstr>true</vt:lpwstr>
  </property>
  <property fmtid="{D5CDD505-2E9C-101B-9397-08002B2CF9AE}" pid="3" name="MSIP_Label_5c88f678-0b6e-4995-8ab3-bcc8062be905_SetDate">
    <vt:lpwstr>2023-06-10T17:44:11Z</vt:lpwstr>
  </property>
  <property fmtid="{D5CDD505-2E9C-101B-9397-08002B2CF9AE}" pid="4" name="MSIP_Label_5c88f678-0b6e-4995-8ab3-bcc8062be905_Method">
    <vt:lpwstr>Privileged</vt:lpwstr>
  </property>
  <property fmtid="{D5CDD505-2E9C-101B-9397-08002B2CF9AE}" pid="5" name="MSIP_Label_5c88f678-0b6e-4995-8ab3-bcc8062be905_Name">
    <vt:lpwstr>Ostensivo</vt:lpwstr>
  </property>
  <property fmtid="{D5CDD505-2E9C-101B-9397-08002B2CF9AE}" pid="6" name="MSIP_Label_5c88f678-0b6e-4995-8ab3-bcc8062be905_SiteId">
    <vt:lpwstr>d0c698d4-e4ea-4ee9-a79d-f2d7a78399c8</vt:lpwstr>
  </property>
  <property fmtid="{D5CDD505-2E9C-101B-9397-08002B2CF9AE}" pid="7" name="MSIP_Label_5c88f678-0b6e-4995-8ab3-bcc8062be905_ActionId">
    <vt:lpwstr>3451afcd-f477-4d60-a1ad-5a70af5b1d8c</vt:lpwstr>
  </property>
  <property fmtid="{D5CDD505-2E9C-101B-9397-08002B2CF9AE}" pid="8" name="MSIP_Label_5c88f678-0b6e-4995-8ab3-bcc8062be905_ContentBits">
    <vt:lpwstr>0</vt:lpwstr>
  </property>
</Properties>
</file>